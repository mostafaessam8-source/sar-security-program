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ion_BOQ" sheetId="2" state="visible" r:id="rId2"/>
    <sheet xmlns:r="http://schemas.openxmlformats.org/officeDocument/2006/relationships" name="Payment_Milestones" sheetId="3" state="visible" r:id="rId3"/>
    <sheet xmlns:r="http://schemas.openxmlformats.org/officeDocument/2006/relationships" name="BOQ_Mapping" sheetId="4" state="visible" r:id="rId4"/>
    <sheet xmlns:r="http://schemas.openxmlformats.org/officeDocument/2006/relationships" name="Distribution_Keys" sheetId="5" state="visible" r:id="rId5"/>
    <sheet xmlns:r="http://schemas.openxmlformats.org/officeDocument/2006/relationships" name="S_Curve" sheetId="6" state="visible" r:id="rId6"/>
    <sheet xmlns:r="http://schemas.openxmlformats.org/officeDocument/2006/relationships" name="Resources" sheetId="7" state="visible" r:id="rId7"/>
    <sheet xmlns:r="http://schemas.openxmlformats.org/officeDocument/2006/relationships" name="Activity_Codes" sheetId="8" state="visible" r:id="rId8"/>
    <sheet xmlns:r="http://schemas.openxmlformats.org/officeDocument/2006/relationships" name="WBS" sheetId="9" state="visible" r:id="rId9"/>
    <sheet xmlns:r="http://schemas.openxmlformats.org/officeDocument/2006/relationships" name="Relationships" sheetId="10" state="visible" r:id="rId10"/>
    <sheet xmlns:r="http://schemas.openxmlformats.org/officeDocument/2006/relationships" name="Invoicing_Monthly" sheetId="11" state="visible" r:id="rId11"/>
  </sheets>
  <definedNames>
    <definedName name="_xlnm._FilterDatabase" localSheetId="3" hidden="1">'BOQ_Mapping'!$A$4:$V$504</definedName>
    <definedName name="_xlnm._FilterDatabase" localSheetId="10" hidden="1">'Invoicing_Monthly'!$A$4:$K$89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"/>
    <numFmt numFmtId="166" formatCode="yyyy-mm-dd"/>
    <numFmt numFmtId="167" formatCode="dd-mmm-yy"/>
    <numFmt numFmtId="168" formatCode="0.0%"/>
    <numFmt numFmtId="169" formatCode="dd-mmm-yyyy"/>
    <numFmt numFmtId="170" formatCode="mmm-yyyy"/>
  </numFmts>
  <fonts count="7">
    <font>
      <name val="Calibri"/>
      <family val="2"/>
      <color theme="1"/>
      <sz val="11"/>
      <scheme val="minor"/>
    </font>
    <font>
      <name val="Calibri"/>
      <b val="1"/>
      <color rgb="0000778B"/>
      <sz val="14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778B"/>
      <sz val="15"/>
    </font>
    <font>
      <name val="Calibri"/>
      <b val="1"/>
      <color rgb="0000778B"/>
      <sz val="12"/>
    </font>
  </fonts>
  <fills count="4">
    <fill>
      <patternFill/>
    </fill>
    <fill>
      <patternFill patternType="gray125"/>
    </fill>
    <fill>
      <patternFill patternType="solid">
        <fgColor rgb="0000778B"/>
      </patternFill>
    </fill>
    <fill>
      <patternFill patternType="solid">
        <fgColor rgb="00E6F1F4"/>
      </patternFill>
    </fill>
  </fills>
  <borders count="2">
    <border>
      <left/>
      <right/>
      <top/>
      <bottom/>
      <diagonal/>
    </border>
    <border>
      <left style="thin">
        <color rgb="00C8C9C7"/>
      </left>
      <right style="thin">
        <color rgb="00C8C9C7"/>
      </right>
      <top style="thin">
        <color rgb="00C8C9C7"/>
      </top>
      <bottom style="thin">
        <color rgb="00C8C9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9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0" fontId="4" fillId="3" borderId="1" pivotButton="0" quotePrefix="0" xfId="0"/>
    <xf numFmtId="3" fontId="0" fillId="0" borderId="0" pivotButton="0" quotePrefix="0" xfId="0"/>
    <xf numFmtId="4" fontId="0" fillId="0" borderId="0" pivotButton="0" quotePrefix="0" xfId="0"/>
    <xf numFmtId="9" fontId="2" fillId="0" borderId="1" pivotButton="0" quotePrefix="0" xfId="0"/>
    <xf numFmtId="9" fontId="4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5" fontId="4" fillId="3" borderId="1" pivotButton="0" quotePrefix="0" xfId="0"/>
    <xf numFmtId="17" fontId="2" fillId="0" borderId="1" pivotButton="0" quotePrefix="0" xfId="0"/>
    <xf numFmtId="168" fontId="2" fillId="0" borderId="1" pivotButton="0" quotePrefix="0" xfId="0"/>
    <xf numFmtId="170" fontId="2" fillId="0" borderId="1" pivotButton="0" quotePrefix="0" xfId="0"/>
    <xf numFmtId="169" fontId="2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cost % and progress %</a:t>
            </a:r>
          </a:p>
        </rich>
      </tx>
    </title>
    <plotArea>
      <lineChart>
        <grouping val="standard"/>
        <ser>
          <idx val="0"/>
          <order val="0"/>
          <tx>
            <strRef>
              <f>'S_Curve'!D3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'S_Curve'!$A$4:$A$38</f>
            </numRef>
          </cat>
          <val>
            <numRef>
              <f>'S_Curve'!$D$4:$D$38</f>
            </numRef>
          </val>
        </ser>
        <ser>
          <idx val="1"/>
          <order val="1"/>
          <tx>
            <strRef>
              <f>'S_Curve'!F3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'S_Curve'!$A$4:$A$38</f>
            </numRef>
          </cat>
          <val>
            <numRef>
              <f>'S_Curve'!$F$4:$F$38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invoiced %</a:t>
            </a:r>
          </a:p>
        </rich>
      </tx>
    </title>
    <plotArea>
      <lineChart>
        <grouping val="standard"/>
        <ser>
          <idx val="0"/>
          <order val="0"/>
          <tx>
            <strRef>
              <f>'Invoicing_Monthly'!K94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'Invoicing_Monthly'!$A$95:$A$130</f>
            </numRef>
          </cat>
          <val>
            <numRef>
              <f>'Invoicing_Monthly'!$K$95:$K$130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93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0580-Security Technology Salutation after eliminating Passenger Checking Roles | Rev 1: baseline schedule, cost loading and BOQ mapping</t>
        </is>
      </c>
    </row>
    <row r="3">
      <c r="A3" s="2" t="inlineStr">
        <is>
          <t>Project number and name</t>
        </is>
      </c>
      <c r="B3" s="3" t="inlineStr">
        <is>
          <t>0580-Security Technology Salutation after eliminating Passenger Checking Roles</t>
        </is>
      </c>
    </row>
    <row r="4">
      <c r="A4" s="2" t="inlineStr">
        <is>
          <t>Source of cost</t>
        </is>
      </c>
      <c r="B4" s="3" t="inlineStr">
        <is>
          <t>Signed contract with ETECHS (1 November 2026): Annex 3 price table (Revised-02) and clause 15 payment milestones</t>
        </is>
      </c>
    </row>
    <row r="5">
      <c r="A5" s="2" t="inlineStr">
        <is>
          <t>Contract price</t>
        </is>
      </c>
      <c r="B5" s="4" t="n">
        <v>62000000</v>
      </c>
    </row>
    <row r="6">
      <c r="A6" s="2" t="inlineStr">
        <is>
          <t>Project start (NTP milestone)</t>
        </is>
      </c>
      <c r="B6" s="5" t="n">
        <v>46327</v>
      </c>
    </row>
    <row r="7">
      <c r="A7" s="2" t="inlineStr">
        <is>
          <t>Contract term end (36 months)</t>
        </is>
      </c>
      <c r="B7" s="5" t="n">
        <v>47422</v>
      </c>
    </row>
    <row r="8">
      <c r="A8" s="2" t="inlineStr">
        <is>
          <t>Activities</t>
        </is>
      </c>
      <c r="B8" s="3" t="n">
        <v>591</v>
      </c>
    </row>
    <row r="9">
      <c r="A9" s="2" t="inlineStr">
        <is>
          <t>Tasks (2 resources each)</t>
        </is>
      </c>
      <c r="B9" s="3" t="n">
        <v>500</v>
      </c>
    </row>
    <row r="10">
      <c r="A10" s="2" t="inlineStr">
        <is>
          <t>Milestones</t>
        </is>
      </c>
      <c r="B10" s="3" t="n">
        <v>91</v>
      </c>
    </row>
    <row r="11">
      <c r="A11" s="2" t="inlineStr">
        <is>
          <t>Cost loaded in P6 (SAR)</t>
        </is>
      </c>
      <c r="B11" s="4">
        <f>BOQ_Mapping!N505</f>
        <v/>
      </c>
    </row>
    <row r="12">
      <c r="A12" s="2" t="inlineStr">
        <is>
          <t>Difference to contract price</t>
        </is>
      </c>
      <c r="B12" s="4">
        <f>B11-B5</f>
        <v/>
      </c>
    </row>
    <row r="13">
      <c r="A13" s="2" t="inlineStr">
        <is>
          <t>Progress points loaded</t>
        </is>
      </c>
      <c r="B13" s="4">
        <f>BOQ_Mapping!R505</f>
        <v/>
      </c>
    </row>
    <row r="14">
      <c r="A14" s="2" t="inlineStr">
        <is>
          <t>Working calendar</t>
        </is>
      </c>
      <c r="B14" s="3" t="inlineStr">
        <is>
          <t>Sunday to Thursday, 8 hours; KSA official holidays; Eid dates are estimates to be updated</t>
        </is>
      </c>
    </row>
    <row r="15">
      <c r="A15" s="2" t="inlineStr">
        <is>
          <t>How to read</t>
        </is>
      </c>
      <c r="B15" s="3" t="inlineStr">
        <is>
          <t>Station_BOQ gives the BOQ value of each station; Payment_Milestones applies the contract payment conditions; BOQ_Mapping shows each activity cost; Distribution_Keys explains the keys; S_Curve shows cost against progress; Invoicing_Monthly lists every invoice by month, milestone and station.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1" customWidth="1" min="18" max="18"/>
  </cols>
  <sheetData>
    <row r="1">
      <c r="A1" s="6" t="inlineStr">
        <is>
          <t>Annex 3 price table: BOQ value by station (SAR, excluding VAT)</t>
        </is>
      </c>
    </row>
    <row r="2">
      <c r="A2" s="3" t="inlineStr">
        <is>
          <t>A1-A6 are priced per station. Shared packages (design, PM, FAT, spares, training, cloud) are priced per railway and allocated to stations pro rata to A1-A6 hardware value.</t>
        </is>
      </c>
    </row>
    <row r="4" ht="32" customHeight="1">
      <c r="A4" s="7" t="inlineStr">
        <is>
          <t>Station</t>
        </is>
      </c>
      <c r="B4" s="7" t="inlineStr">
        <is>
          <t>Railway</t>
        </is>
      </c>
      <c r="C4" s="7" t="inlineStr">
        <is>
          <t>A1 CCTV</t>
        </is>
      </c>
      <c r="D4" s="7" t="inlineStr">
        <is>
          <t>A2 Video mgmt and wall</t>
        </is>
      </c>
      <c r="E4" s="7" t="inlineStr">
        <is>
          <t>A3 Access and intercom</t>
        </is>
      </c>
      <c r="F4" s="7" t="inlineStr">
        <is>
          <t>A4 UPS</t>
        </is>
      </c>
      <c r="G4" s="7" t="inlineStr">
        <is>
          <t>A5 Poles, cabinets, network</t>
        </is>
      </c>
      <c r="H4" s="7" t="inlineStr">
        <is>
          <t>A6 Civil works</t>
        </is>
      </c>
      <c r="I4" s="7" t="inlineStr">
        <is>
          <t>Hardware subtotal</t>
        </is>
      </c>
      <c r="J4" s="7" t="inlineStr">
        <is>
          <t>Design and engineering</t>
        </is>
      </c>
      <c r="K4" s="7" t="inlineStr">
        <is>
          <t>Project management</t>
        </is>
      </c>
      <c r="L4" s="7" t="inlineStr">
        <is>
          <t>FAT</t>
        </is>
      </c>
      <c r="M4" s="7" t="inlineStr">
        <is>
          <t>Commissioning spares</t>
        </is>
      </c>
      <c r="N4" s="7" t="inlineStr">
        <is>
          <t>Training</t>
        </is>
      </c>
      <c r="O4" s="7" t="inlineStr">
        <is>
          <t>Cloud (12 mo)</t>
        </is>
      </c>
      <c r="P4" s="7" t="inlineStr">
        <is>
          <t>Shared total</t>
        </is>
      </c>
      <c r="Q4" s="7" t="inlineStr">
        <is>
          <t>Station value</t>
        </is>
      </c>
      <c r="R4" s="7" t="inlineStr">
        <is>
          <t>Share of price</t>
        </is>
      </c>
    </row>
    <row r="5">
      <c r="A5" s="8" t="inlineStr">
        <is>
          <t>Riyadh (Thumamah) (NRY)</t>
        </is>
      </c>
      <c r="B5" s="8" t="inlineStr">
        <is>
          <t>NSR</t>
        </is>
      </c>
      <c r="C5" s="9" t="n">
        <v>338989</v>
      </c>
      <c r="D5" s="9" t="n">
        <v>417141</v>
      </c>
      <c r="E5" s="9" t="n">
        <v>44085</v>
      </c>
      <c r="F5" s="9" t="n">
        <v>56211</v>
      </c>
      <c r="G5" s="9" t="n">
        <v>860619</v>
      </c>
      <c r="H5" s="9" t="n">
        <v>745743</v>
      </c>
      <c r="I5" s="9">
        <f>SUM(C5:H5)</f>
        <v/>
      </c>
      <c r="J5" s="9" t="n">
        <v>82837.39996493388</v>
      </c>
      <c r="K5" s="9" t="n">
        <v>744951.9773643586</v>
      </c>
      <c r="L5" s="9" t="n">
        <v>34510.37611052764</v>
      </c>
      <c r="M5" s="9" t="n">
        <v>66982.13021278432</v>
      </c>
      <c r="N5" s="9" t="n">
        <v>6573.987145778598</v>
      </c>
      <c r="O5" s="9" t="n">
        <v>82141.89807039134</v>
      </c>
      <c r="P5" s="9">
        <f>SUM(J5:O5)</f>
        <v/>
      </c>
      <c r="Q5" s="9">
        <f>I5+P5</f>
        <v/>
      </c>
      <c r="R5" s="10">
        <f>Q5/Q$19</f>
        <v/>
      </c>
    </row>
    <row r="6">
      <c r="A6" s="8" t="inlineStr">
        <is>
          <t>Makkah (HMK)</t>
        </is>
      </c>
      <c r="B6" s="8" t="inlineStr">
        <is>
          <t>HHR</t>
        </is>
      </c>
      <c r="C6" s="9" t="n">
        <v>1650175</v>
      </c>
      <c r="D6" s="9" t="n">
        <v>552237</v>
      </c>
      <c r="E6" s="9" t="n">
        <v>44085</v>
      </c>
      <c r="F6" s="9" t="n">
        <v>110563</v>
      </c>
      <c r="G6" s="9" t="n">
        <v>2715976</v>
      </c>
      <c r="H6" s="9" t="n">
        <v>571639</v>
      </c>
      <c r="I6" s="9">
        <f>SUM(C6:H6)</f>
        <v/>
      </c>
      <c r="J6" s="9" t="n">
        <v>337786.5094247552</v>
      </c>
      <c r="K6" s="9" t="n">
        <v>3026065.685498986</v>
      </c>
      <c r="L6" s="9" t="n">
        <v>64944.14684218875</v>
      </c>
      <c r="M6" s="9" t="n">
        <v>175360.1567832797</v>
      </c>
      <c r="N6" s="9" t="n">
        <v>21649.32711758518</v>
      </c>
      <c r="O6" s="9" t="n">
        <v>439615.1329515057</v>
      </c>
      <c r="P6" s="9">
        <f>SUM(J6:O6)</f>
        <v/>
      </c>
      <c r="Q6" s="9">
        <f>I6+P6</f>
        <v/>
      </c>
      <c r="R6" s="10">
        <f>Q6/Q$19</f>
        <v/>
      </c>
    </row>
    <row r="7">
      <c r="A7" s="8" t="inlineStr">
        <is>
          <t>Riyadh (Malaz) (ERY)</t>
        </is>
      </c>
      <c r="B7" s="8" t="inlineStr">
        <is>
          <t>EWR</t>
        </is>
      </c>
      <c r="C7" s="9" t="n">
        <v>276849</v>
      </c>
      <c r="D7" s="9" t="n">
        <v>350866</v>
      </c>
      <c r="E7" s="9" t="n">
        <v>44085</v>
      </c>
      <c r="F7" s="9" t="n">
        <v>50114</v>
      </c>
      <c r="G7" s="9" t="n">
        <v>548042</v>
      </c>
      <c r="H7" s="9" t="n">
        <v>701825</v>
      </c>
      <c r="I7" s="9">
        <f>SUM(C7:H7)</f>
        <v/>
      </c>
      <c r="J7" s="9" t="n">
        <v>86494.68770162479</v>
      </c>
      <c r="K7" s="9" t="n">
        <v>779124.2822418377</v>
      </c>
      <c r="L7" s="9" t="n">
        <v>56538.42658113482</v>
      </c>
      <c r="M7" s="9" t="n">
        <v>106509.2033615207</v>
      </c>
      <c r="N7" s="9" t="n">
        <v>18847.25493034607</v>
      </c>
      <c r="O7" s="9" t="n">
        <v>72225.50946961093</v>
      </c>
      <c r="P7" s="9">
        <f>SUM(J7:O7)</f>
        <v/>
      </c>
      <c r="Q7" s="9">
        <f>I7+P7</f>
        <v/>
      </c>
      <c r="R7" s="10">
        <f>Q7/Q$19</f>
        <v/>
      </c>
    </row>
    <row r="8">
      <c r="A8" s="8" t="inlineStr">
        <is>
          <t>Jeddah (HJD)</t>
        </is>
      </c>
      <c r="B8" s="8" t="inlineStr">
        <is>
          <t>HHR</t>
        </is>
      </c>
      <c r="C8" s="9" t="n">
        <v>1391206</v>
      </c>
      <c r="D8" s="9" t="n">
        <v>652091</v>
      </c>
      <c r="E8" s="9" t="n">
        <v>44085</v>
      </c>
      <c r="F8" s="9" t="n">
        <v>102666</v>
      </c>
      <c r="G8" s="9" t="n">
        <v>2840354</v>
      </c>
      <c r="H8" s="9" t="n">
        <v>521718</v>
      </c>
      <c r="I8" s="9">
        <f>SUM(C8:H8)</f>
        <v/>
      </c>
      <c r="J8" s="9" t="n">
        <v>332247.8680716555</v>
      </c>
      <c r="K8" s="9" t="n">
        <v>2976447.681004244</v>
      </c>
      <c r="L8" s="9" t="n">
        <v>63879.26613409151</v>
      </c>
      <c r="M8" s="9" t="n">
        <v>172484.7991566535</v>
      </c>
      <c r="N8" s="9" t="n">
        <v>21294.34592356283</v>
      </c>
      <c r="O8" s="9" t="n">
        <v>432406.8209352555</v>
      </c>
      <c r="P8" s="9">
        <f>SUM(J8:O8)</f>
        <v/>
      </c>
      <c r="Q8" s="9">
        <f>I8+P8</f>
        <v/>
      </c>
      <c r="R8" s="10">
        <f>Q8/Q$19</f>
        <v/>
      </c>
    </row>
    <row r="9">
      <c r="A9" s="8" t="inlineStr">
        <is>
          <t>Dammam (EDM)</t>
        </is>
      </c>
      <c r="B9" s="8" t="inlineStr">
        <is>
          <t>EWR</t>
        </is>
      </c>
      <c r="C9" s="9" t="n">
        <v>276849</v>
      </c>
      <c r="D9" s="9" t="n">
        <v>412102</v>
      </c>
      <c r="E9" s="9" t="n">
        <v>44085</v>
      </c>
      <c r="F9" s="9" t="n">
        <v>50114</v>
      </c>
      <c r="G9" s="9" t="n">
        <v>548042</v>
      </c>
      <c r="H9" s="9" t="n">
        <v>701813</v>
      </c>
      <c r="I9" s="9">
        <f>SUM(C9:H9)</f>
        <v/>
      </c>
      <c r="J9" s="9" t="n">
        <v>89180.35652582193</v>
      </c>
      <c r="K9" s="9" t="n">
        <v>803316.1702131561</v>
      </c>
      <c r="L9" s="9" t="n">
        <v>58293.95045980258</v>
      </c>
      <c r="M9" s="9" t="n">
        <v>109816.3249265453</v>
      </c>
      <c r="N9" s="9" t="n">
        <v>19432.46410715399</v>
      </c>
      <c r="O9" s="9" t="n">
        <v>74468.11886272683</v>
      </c>
      <c r="P9" s="9">
        <f>SUM(J9:O9)</f>
        <v/>
      </c>
      <c r="Q9" s="9">
        <f>I9+P9</f>
        <v/>
      </c>
      <c r="R9" s="10">
        <f>Q9/Q$19</f>
        <v/>
      </c>
    </row>
    <row r="10">
      <c r="A10" s="8" t="inlineStr">
        <is>
          <t>Al Qassim (NQS)</t>
        </is>
      </c>
      <c r="B10" s="8" t="inlineStr">
        <is>
          <t>NSR</t>
        </is>
      </c>
      <c r="C10" s="9" t="n">
        <v>338989</v>
      </c>
      <c r="D10" s="9" t="n">
        <v>359215</v>
      </c>
      <c r="E10" s="9" t="n">
        <v>44085</v>
      </c>
      <c r="F10" s="9" t="n">
        <v>56211</v>
      </c>
      <c r="G10" s="9" t="n">
        <v>860619</v>
      </c>
      <c r="H10" s="9" t="n">
        <v>745743</v>
      </c>
      <c r="I10" s="9">
        <f>SUM(C10:H10)</f>
        <v/>
      </c>
      <c r="J10" s="9" t="n">
        <v>80889.02307241663</v>
      </c>
      <c r="K10" s="9" t="n">
        <v>727430.3359397585</v>
      </c>
      <c r="L10" s="9" t="n">
        <v>33698.67488144156</v>
      </c>
      <c r="M10" s="9" t="n">
        <v>65406.67715929139</v>
      </c>
      <c r="N10" s="9" t="n">
        <v>6419.363694874024</v>
      </c>
      <c r="O10" s="9" t="n">
        <v>80209.87972872917</v>
      </c>
      <c r="P10" s="9">
        <f>SUM(J10:O10)</f>
        <v/>
      </c>
      <c r="Q10" s="9">
        <f>I10+P10</f>
        <v/>
      </c>
      <c r="R10" s="10">
        <f>Q10/Q$19</f>
        <v/>
      </c>
    </row>
    <row r="11">
      <c r="A11" s="8" t="inlineStr">
        <is>
          <t>Hufuf (EHF)</t>
        </is>
      </c>
      <c r="B11" s="8" t="inlineStr">
        <is>
          <t>EWR</t>
        </is>
      </c>
      <c r="C11" s="9" t="n">
        <v>192155</v>
      </c>
      <c r="D11" s="9" t="n">
        <v>349033</v>
      </c>
      <c r="E11" s="9" t="n">
        <v>44085</v>
      </c>
      <c r="F11" s="9" t="n">
        <v>50114</v>
      </c>
      <c r="G11" s="9" t="n">
        <v>508774</v>
      </c>
      <c r="H11" s="9" t="n">
        <v>659866</v>
      </c>
      <c r="I11" s="9">
        <f>SUM(C11:H11)</f>
        <v/>
      </c>
      <c r="J11" s="9" t="n">
        <v>79135.94459541859</v>
      </c>
      <c r="K11" s="9" t="n">
        <v>712838.4143674657</v>
      </c>
      <c r="L11" s="9" t="n">
        <v>51728.2842718765</v>
      </c>
      <c r="M11" s="9" t="n">
        <v>97447.6773093331</v>
      </c>
      <c r="N11" s="9" t="n">
        <v>17243.77949185403</v>
      </c>
      <c r="O11" s="9" t="n">
        <v>66080.75094137422</v>
      </c>
      <c r="P11" s="9">
        <f>SUM(J11:O11)</f>
        <v/>
      </c>
      <c r="Q11" s="9">
        <f>I11+P11</f>
        <v/>
      </c>
      <c r="R11" s="10">
        <f>Q11/Q$19</f>
        <v/>
      </c>
    </row>
    <row r="12">
      <c r="A12" s="8" t="inlineStr">
        <is>
          <t>Al Majma'ah (NMJ)</t>
        </is>
      </c>
      <c r="B12" s="8" t="inlineStr">
        <is>
          <t>NSR</t>
        </is>
      </c>
      <c r="C12" s="9" t="n">
        <v>338989</v>
      </c>
      <c r="D12" s="9" t="n">
        <v>359215</v>
      </c>
      <c r="E12" s="9" t="n">
        <v>44085</v>
      </c>
      <c r="F12" s="9" t="n">
        <v>56211</v>
      </c>
      <c r="G12" s="9" t="n">
        <v>860619</v>
      </c>
      <c r="H12" s="9" t="n">
        <v>745743</v>
      </c>
      <c r="I12" s="9">
        <f>SUM(C12:H12)</f>
        <v/>
      </c>
      <c r="J12" s="9" t="n">
        <v>80889.02307241663</v>
      </c>
      <c r="K12" s="9" t="n">
        <v>727430.3359397585</v>
      </c>
      <c r="L12" s="9" t="n">
        <v>33698.67488144156</v>
      </c>
      <c r="M12" s="9" t="n">
        <v>65406.67715929139</v>
      </c>
      <c r="N12" s="9" t="n">
        <v>6419.363694874024</v>
      </c>
      <c r="O12" s="9" t="n">
        <v>80209.87972872917</v>
      </c>
      <c r="P12" s="9">
        <f>SUM(J12:O12)</f>
        <v/>
      </c>
      <c r="Q12" s="9">
        <f>I12+P12</f>
        <v/>
      </c>
      <c r="R12" s="10">
        <f>Q12/Q$19</f>
        <v/>
      </c>
    </row>
    <row r="13">
      <c r="A13" s="8" t="inlineStr">
        <is>
          <t>KAEC (HKA)</t>
        </is>
      </c>
      <c r="B13" s="8" t="inlineStr">
        <is>
          <t>HHR</t>
        </is>
      </c>
      <c r="C13" s="9" t="n">
        <v>962039</v>
      </c>
      <c r="D13" s="9" t="n">
        <v>406364</v>
      </c>
      <c r="E13" s="9" t="n">
        <v>44085</v>
      </c>
      <c r="F13" s="9" t="n">
        <v>82168</v>
      </c>
      <c r="G13" s="9" t="n">
        <v>1552977</v>
      </c>
      <c r="H13" s="9" t="n">
        <v>187054</v>
      </c>
      <c r="I13" s="9">
        <f>SUM(C13:H13)</f>
        <v/>
      </c>
      <c r="J13" s="9" t="n">
        <v>193568.9177519756</v>
      </c>
      <c r="K13" s="9" t="n">
        <v>1734090.152937</v>
      </c>
      <c r="L13" s="9" t="n">
        <v>37216.31227954116</v>
      </c>
      <c r="M13" s="9" t="n">
        <v>100490.3239716789</v>
      </c>
      <c r="N13" s="9" t="n">
        <v>12406.16988329714</v>
      </c>
      <c r="O13" s="9" t="n">
        <v>251921.9185447359</v>
      </c>
      <c r="P13" s="9">
        <f>SUM(J13:O13)</f>
        <v/>
      </c>
      <c r="Q13" s="9">
        <f>I13+P13</f>
        <v/>
      </c>
      <c r="R13" s="10">
        <f>Q13/Q$19</f>
        <v/>
      </c>
    </row>
    <row r="14">
      <c r="A14" s="8" t="inlineStr">
        <is>
          <t>Madinah (HMD)</t>
        </is>
      </c>
      <c r="B14" s="8" t="inlineStr">
        <is>
          <t>HHR</t>
        </is>
      </c>
      <c r="C14" s="9" t="n">
        <v>934319</v>
      </c>
      <c r="D14" s="9" t="n">
        <v>409184</v>
      </c>
      <c r="E14" s="9" t="n">
        <v>44085</v>
      </c>
      <c r="F14" s="9" t="n">
        <v>74329</v>
      </c>
      <c r="G14" s="9" t="n">
        <v>1480427</v>
      </c>
      <c r="H14" s="9" t="n">
        <v>291036</v>
      </c>
      <c r="I14" s="9">
        <f>SUM(C14:H14)</f>
        <v/>
      </c>
      <c r="J14" s="9" t="n">
        <v>193490.7047516137</v>
      </c>
      <c r="K14" s="9" t="n">
        <v>1733389.480559769</v>
      </c>
      <c r="L14" s="9" t="n">
        <v>37201.27474417858</v>
      </c>
      <c r="M14" s="9" t="n">
        <v>100449.7200883879</v>
      </c>
      <c r="N14" s="9" t="n">
        <v>12401.15707555485</v>
      </c>
      <c r="O14" s="9" t="n">
        <v>251820.1275685029</v>
      </c>
      <c r="P14" s="9">
        <f>SUM(J14:O14)</f>
        <v/>
      </c>
      <c r="Q14" s="9">
        <f>I14+P14</f>
        <v/>
      </c>
      <c r="R14" s="10">
        <f>Q14/Q$19</f>
        <v/>
      </c>
    </row>
    <row r="15">
      <c r="A15" s="8" t="inlineStr">
        <is>
          <t>Abqaiq (EAB)</t>
        </is>
      </c>
      <c r="B15" s="8" t="inlineStr">
        <is>
          <t>EWR</t>
        </is>
      </c>
      <c r="C15" s="9" t="n">
        <v>111083</v>
      </c>
      <c r="D15" s="9" t="n">
        <v>286032</v>
      </c>
      <c r="E15" s="9" t="n">
        <v>44085</v>
      </c>
      <c r="F15" s="9" t="n">
        <v>50114</v>
      </c>
      <c r="G15" s="9" t="n">
        <v>411979</v>
      </c>
      <c r="H15" s="9" t="n">
        <v>375936</v>
      </c>
      <c r="I15" s="9">
        <f>SUM(C15:H15)</f>
        <v/>
      </c>
      <c r="J15" s="9" t="n">
        <v>56115.01117713467</v>
      </c>
      <c r="K15" s="9" t="n">
        <v>505471.1331775404</v>
      </c>
      <c r="L15" s="9" t="n">
        <v>36680.33868718611</v>
      </c>
      <c r="M15" s="9" t="n">
        <v>69099.79440260089</v>
      </c>
      <c r="N15" s="9" t="n">
        <v>12227.50147064591</v>
      </c>
      <c r="O15" s="9" t="n">
        <v>46857.62072628802</v>
      </c>
      <c r="P15" s="9">
        <f>SUM(J15:O15)</f>
        <v/>
      </c>
      <c r="Q15" s="9">
        <f>I15+P15</f>
        <v/>
      </c>
      <c r="R15" s="10">
        <f>Q15/Q$19</f>
        <v/>
      </c>
    </row>
    <row r="16">
      <c r="A16" s="8" t="inlineStr">
        <is>
          <t>Hail (NHL)</t>
        </is>
      </c>
      <c r="B16" s="8" t="inlineStr">
        <is>
          <t>NSR</t>
        </is>
      </c>
      <c r="C16" s="9" t="n">
        <v>338989</v>
      </c>
      <c r="D16" s="9" t="n">
        <v>359215</v>
      </c>
      <c r="E16" s="9" t="n">
        <v>44085</v>
      </c>
      <c r="F16" s="9" t="n">
        <v>56211</v>
      </c>
      <c r="G16" s="9" t="n">
        <v>860619</v>
      </c>
      <c r="H16" s="9" t="n">
        <v>745743</v>
      </c>
      <c r="I16" s="9">
        <f>SUM(C16:H16)</f>
        <v/>
      </c>
      <c r="J16" s="9" t="n">
        <v>80889.02307241663</v>
      </c>
      <c r="K16" s="9" t="n">
        <v>727430.3359397585</v>
      </c>
      <c r="L16" s="9" t="n">
        <v>33698.67488144156</v>
      </c>
      <c r="M16" s="9" t="n">
        <v>65406.67715929139</v>
      </c>
      <c r="N16" s="9" t="n">
        <v>6419.363694874024</v>
      </c>
      <c r="O16" s="9" t="n">
        <v>80209.87972872917</v>
      </c>
      <c r="P16" s="9">
        <f>SUM(J16:O16)</f>
        <v/>
      </c>
      <c r="Q16" s="9">
        <f>I16+P16</f>
        <v/>
      </c>
      <c r="R16" s="10">
        <f>Q16/Q$19</f>
        <v/>
      </c>
    </row>
    <row r="17">
      <c r="A17" s="8" t="inlineStr">
        <is>
          <t>Al Jouf (NJF)</t>
        </is>
      </c>
      <c r="B17" s="8" t="inlineStr">
        <is>
          <t>NSR</t>
        </is>
      </c>
      <c r="C17" s="9" t="n">
        <v>338989</v>
      </c>
      <c r="D17" s="9" t="n">
        <v>359215</v>
      </c>
      <c r="E17" s="9" t="n">
        <v>44085</v>
      </c>
      <c r="F17" s="9" t="n">
        <v>56211</v>
      </c>
      <c r="G17" s="9" t="n">
        <v>877550</v>
      </c>
      <c r="H17" s="9" t="n">
        <v>745743</v>
      </c>
      <c r="I17" s="9">
        <f>SUM(C17:H17)</f>
        <v/>
      </c>
      <c r="J17" s="9" t="n">
        <v>81458.50774539958</v>
      </c>
      <c r="K17" s="9" t="n">
        <v>732551.6788766073</v>
      </c>
      <c r="L17" s="9" t="n">
        <v>33935.92436370612</v>
      </c>
      <c r="M17" s="9" t="n">
        <v>65867.1611500501</v>
      </c>
      <c r="N17" s="9" t="n">
        <v>6464.558074725306</v>
      </c>
      <c r="O17" s="9" t="n">
        <v>80774.58301469199</v>
      </c>
      <c r="P17" s="9">
        <f>SUM(J17:O17)</f>
        <v/>
      </c>
      <c r="Q17" s="9">
        <f>I17+P17</f>
        <v/>
      </c>
      <c r="R17" s="10">
        <f>Q17/Q$19</f>
        <v/>
      </c>
    </row>
    <row r="18">
      <c r="A18" s="8" t="inlineStr">
        <is>
          <t>Al Qurayyat (NQR)</t>
        </is>
      </c>
      <c r="B18" s="8" t="inlineStr">
        <is>
          <t>NSR</t>
        </is>
      </c>
      <c r="C18" s="9" t="n">
        <v>338989</v>
      </c>
      <c r="D18" s="9" t="n">
        <v>359215</v>
      </c>
      <c r="E18" s="9" t="n">
        <v>44085</v>
      </c>
      <c r="F18" s="9" t="n">
        <v>56211</v>
      </c>
      <c r="G18" s="9" t="n">
        <v>860619</v>
      </c>
      <c r="H18" s="9" t="n">
        <v>745743</v>
      </c>
      <c r="I18" s="9">
        <f>SUM(C18:H18)</f>
        <v/>
      </c>
      <c r="J18" s="9" t="n">
        <v>80889.02307241663</v>
      </c>
      <c r="K18" s="9" t="n">
        <v>727430.3359397585</v>
      </c>
      <c r="L18" s="9" t="n">
        <v>33698.67488144156</v>
      </c>
      <c r="M18" s="9" t="n">
        <v>65406.67715929139</v>
      </c>
      <c r="N18" s="9" t="n">
        <v>6419.363694874024</v>
      </c>
      <c r="O18" s="9" t="n">
        <v>80209.87972872917</v>
      </c>
      <c r="P18" s="9">
        <f>SUM(J18:O18)</f>
        <v/>
      </c>
      <c r="Q18" s="9">
        <f>I18+P18</f>
        <v/>
      </c>
      <c r="R18" s="10">
        <f>Q18/Q$19</f>
        <v/>
      </c>
    </row>
    <row r="19">
      <c r="A19" s="11" t="inlineStr">
        <is>
          <t>Total</t>
        </is>
      </c>
      <c r="B19" s="11" t="inlineStr"/>
      <c r="C19" s="12">
        <f>SUM(C5:C18)</f>
        <v/>
      </c>
      <c r="D19" s="12">
        <f>SUM(D5:D18)</f>
        <v/>
      </c>
      <c r="E19" s="12">
        <f>SUM(E5:E18)</f>
        <v/>
      </c>
      <c r="F19" s="12">
        <f>SUM(F5:F18)</f>
        <v/>
      </c>
      <c r="G19" s="12">
        <f>SUM(G5:G18)</f>
        <v/>
      </c>
      <c r="H19" s="12">
        <f>SUM(H5:H18)</f>
        <v/>
      </c>
      <c r="I19" s="12">
        <f>SUM(I5:I18)</f>
        <v/>
      </c>
      <c r="J19" s="12">
        <f>SUM(J5:J18)</f>
        <v/>
      </c>
      <c r="K19" s="12">
        <f>SUM(K5:K18)</f>
        <v/>
      </c>
      <c r="L19" s="12">
        <f>SUM(L5:L18)</f>
        <v/>
      </c>
      <c r="M19" s="12">
        <f>SUM(M5:M18)</f>
        <v/>
      </c>
      <c r="N19" s="12">
        <f>SUM(N5:N18)</f>
        <v/>
      </c>
      <c r="O19" s="12">
        <f>SUM(O5:O18)</f>
        <v/>
      </c>
      <c r="P19" s="12">
        <f>SUM(P5:P18)</f>
        <v/>
      </c>
      <c r="Q19" s="12">
        <f>SUM(Q5:Q18)</f>
        <v/>
      </c>
      <c r="R19" s="13">
        <f>SUM(R5:R18)</f>
        <v/>
      </c>
    </row>
    <row r="21">
      <c r="A21" s="2" t="inlineStr">
        <is>
          <t>Contract price (Annex 3)</t>
        </is>
      </c>
      <c r="C21" s="14" t="n">
        <v>62000000</v>
      </c>
    </row>
    <row r="22">
      <c r="A22" s="2" t="inlineStr">
        <is>
          <t>Difference (should be zero within SAR 5)</t>
        </is>
      </c>
      <c r="C22" s="15">
        <f>Q19-C21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Contract clause 15 payment milestones applied to each station price</t>
        </is>
      </c>
    </row>
    <row r="2">
      <c r="A2" s="3" t="inlineStr">
        <is>
          <t>MS1 Mobilization is 20% of the TOTAL price. MS2 to MS7 are prorated per station on the station share of the price.</t>
        </is>
      </c>
    </row>
    <row r="4" ht="32" customHeight="1">
      <c r="A4" s="7" t="inlineStr">
        <is>
          <t>Milestone</t>
        </is>
      </c>
      <c r="B4" s="7" t="inlineStr">
        <is>
          <t>Description</t>
        </is>
      </c>
      <c r="C4" s="7" t="inlineStr">
        <is>
          <t>Share of price</t>
        </is>
      </c>
      <c r="D4" s="7" t="inlineStr">
        <is>
          <t>Amount (SAR)</t>
        </is>
      </c>
    </row>
    <row r="5">
      <c r="A5" s="8" t="inlineStr">
        <is>
          <t>MS1</t>
        </is>
      </c>
      <c r="B5" s="8" t="inlineStr">
        <is>
          <t>Mobilization</t>
        </is>
      </c>
      <c r="C5" s="16" t="n">
        <v>0.2</v>
      </c>
      <c r="D5" s="9">
        <f>C5*62000000</f>
        <v/>
      </c>
    </row>
    <row r="6">
      <c r="A6" s="8" t="inlineStr">
        <is>
          <t>MS2</t>
        </is>
      </c>
      <c r="B6" s="8" t="inlineStr">
        <is>
          <t>Engineering submittal</t>
        </is>
      </c>
      <c r="C6" s="16" t="n">
        <v>0.1</v>
      </c>
      <c r="D6" s="9">
        <f>C6*62000000</f>
        <v/>
      </c>
    </row>
    <row r="7">
      <c r="A7" s="8" t="inlineStr">
        <is>
          <t>MS3</t>
        </is>
      </c>
      <c r="B7" s="8" t="inlineStr">
        <is>
          <t>SAR approval of engineering</t>
        </is>
      </c>
      <c r="C7" s="16" t="n">
        <v>0.1</v>
      </c>
      <c r="D7" s="9">
        <f>C7*62000000</f>
        <v/>
      </c>
    </row>
    <row r="8">
      <c r="A8" s="8" t="inlineStr">
        <is>
          <t>MS4</t>
        </is>
      </c>
      <c r="B8" s="8" t="inlineStr">
        <is>
          <t>Material delivery</t>
        </is>
      </c>
      <c r="C8" s="16" t="n">
        <v>0.2</v>
      </c>
      <c r="D8" s="9">
        <f>C8*62000000</f>
        <v/>
      </c>
    </row>
    <row r="9">
      <c r="A9" s="8" t="inlineStr">
        <is>
          <t>MS5</t>
        </is>
      </c>
      <c r="B9" s="8" t="inlineStr">
        <is>
          <t>Installation</t>
        </is>
      </c>
      <c r="C9" s="16" t="n">
        <v>0.2</v>
      </c>
      <c r="D9" s="9">
        <f>C9*62000000</f>
        <v/>
      </c>
    </row>
    <row r="10">
      <c r="A10" s="8" t="inlineStr">
        <is>
          <t>MS6</t>
        </is>
      </c>
      <c r="B10" s="8" t="inlineStr">
        <is>
          <t>Testing and commissioning (SAT)</t>
        </is>
      </c>
      <c r="C10" s="16" t="n">
        <v>0.1</v>
      </c>
      <c r="D10" s="9">
        <f>C10*62000000</f>
        <v/>
      </c>
    </row>
    <row r="11">
      <c r="A11" s="8" t="inlineStr">
        <is>
          <t>MS7</t>
        </is>
      </c>
      <c r="B11" s="8" t="inlineStr">
        <is>
          <t>Final acceptance and handover</t>
        </is>
      </c>
      <c r="C11" s="16" t="n">
        <v>0.1</v>
      </c>
      <c r="D11" s="9">
        <f>C11*62000000</f>
        <v/>
      </c>
    </row>
    <row r="12">
      <c r="A12" s="11" t="inlineStr">
        <is>
          <t>Total</t>
        </is>
      </c>
      <c r="B12" s="11" t="inlineStr"/>
      <c r="C12" s="17">
        <f>SUM(C5:C11)</f>
        <v/>
      </c>
      <c r="D12" s="12">
        <f>SUM(D5:D11)</f>
        <v/>
      </c>
    </row>
    <row r="15" ht="32" customHeight="1">
      <c r="A15" s="7" t="inlineStr">
        <is>
          <t>Station</t>
        </is>
      </c>
      <c r="B15" s="7" t="inlineStr">
        <is>
          <t>Station share</t>
        </is>
      </c>
      <c r="C15" s="7" t="inlineStr">
        <is>
          <t>MS2 amount</t>
        </is>
      </c>
      <c r="D15" s="7" t="inlineStr">
        <is>
          <t>MS3 amount</t>
        </is>
      </c>
      <c r="E15" s="7" t="inlineStr">
        <is>
          <t>MS4 amount</t>
        </is>
      </c>
      <c r="F15" s="7" t="inlineStr">
        <is>
          <t>MS5 amount</t>
        </is>
      </c>
      <c r="G15" s="7" t="inlineStr">
        <is>
          <t>MS6 amount</t>
        </is>
      </c>
      <c r="H15" s="7" t="inlineStr">
        <is>
          <t>MS7 amount</t>
        </is>
      </c>
      <c r="I15" s="7" t="inlineStr">
        <is>
          <t>Stations total MS2-MS7</t>
        </is>
      </c>
    </row>
    <row r="16">
      <c r="A16" s="8" t="inlineStr">
        <is>
          <t>Riyadh (Thumamah) (NRY)</t>
        </is>
      </c>
      <c r="B16" s="10">
        <f>Station_BOQ!R5</f>
        <v/>
      </c>
      <c r="C16" s="9">
        <f>$B16*62000000*$C$6</f>
        <v/>
      </c>
      <c r="D16" s="9">
        <f>$B16*62000000*$C$7</f>
        <v/>
      </c>
      <c r="E16" s="9">
        <f>$B16*62000000*$C$8</f>
        <v/>
      </c>
      <c r="F16" s="9">
        <f>$B16*62000000*$C$9</f>
        <v/>
      </c>
      <c r="G16" s="9">
        <f>$B16*62000000*$C$10</f>
        <v/>
      </c>
      <c r="H16" s="9">
        <f>$B16*62000000*$C$11</f>
        <v/>
      </c>
      <c r="I16" s="9">
        <f>SUM(C16:H16)</f>
        <v/>
      </c>
    </row>
    <row r="17">
      <c r="A17" s="8" t="inlineStr">
        <is>
          <t>Makkah (HMK)</t>
        </is>
      </c>
      <c r="B17" s="10">
        <f>Station_BOQ!R6</f>
        <v/>
      </c>
      <c r="C17" s="9">
        <f>$B17*62000000*$C$6</f>
        <v/>
      </c>
      <c r="D17" s="9">
        <f>$B17*62000000*$C$7</f>
        <v/>
      </c>
      <c r="E17" s="9">
        <f>$B17*62000000*$C$8</f>
        <v/>
      </c>
      <c r="F17" s="9">
        <f>$B17*62000000*$C$9</f>
        <v/>
      </c>
      <c r="G17" s="9">
        <f>$B17*62000000*$C$10</f>
        <v/>
      </c>
      <c r="H17" s="9">
        <f>$B17*62000000*$C$11</f>
        <v/>
      </c>
      <c r="I17" s="9">
        <f>SUM(C17:H17)</f>
        <v/>
      </c>
    </row>
    <row r="18">
      <c r="A18" s="8" t="inlineStr">
        <is>
          <t>Riyadh (Malaz) (ERY)</t>
        </is>
      </c>
      <c r="B18" s="10">
        <f>Station_BOQ!R7</f>
        <v/>
      </c>
      <c r="C18" s="9">
        <f>$B18*62000000*$C$6</f>
        <v/>
      </c>
      <c r="D18" s="9">
        <f>$B18*62000000*$C$7</f>
        <v/>
      </c>
      <c r="E18" s="9">
        <f>$B18*62000000*$C$8</f>
        <v/>
      </c>
      <c r="F18" s="9">
        <f>$B18*62000000*$C$9</f>
        <v/>
      </c>
      <c r="G18" s="9">
        <f>$B18*62000000*$C$10</f>
        <v/>
      </c>
      <c r="H18" s="9">
        <f>$B18*62000000*$C$11</f>
        <v/>
      </c>
      <c r="I18" s="9">
        <f>SUM(C18:H18)</f>
        <v/>
      </c>
    </row>
    <row r="19">
      <c r="A19" s="8" t="inlineStr">
        <is>
          <t>Jeddah (HJD)</t>
        </is>
      </c>
      <c r="B19" s="10">
        <f>Station_BOQ!R8</f>
        <v/>
      </c>
      <c r="C19" s="9">
        <f>$B19*62000000*$C$6</f>
        <v/>
      </c>
      <c r="D19" s="9">
        <f>$B19*62000000*$C$7</f>
        <v/>
      </c>
      <c r="E19" s="9">
        <f>$B19*62000000*$C$8</f>
        <v/>
      </c>
      <c r="F19" s="9">
        <f>$B19*62000000*$C$9</f>
        <v/>
      </c>
      <c r="G19" s="9">
        <f>$B19*62000000*$C$10</f>
        <v/>
      </c>
      <c r="H19" s="9">
        <f>$B19*62000000*$C$11</f>
        <v/>
      </c>
      <c r="I19" s="9">
        <f>SUM(C19:H19)</f>
        <v/>
      </c>
    </row>
    <row r="20">
      <c r="A20" s="8" t="inlineStr">
        <is>
          <t>Dammam (EDM)</t>
        </is>
      </c>
      <c r="B20" s="10">
        <f>Station_BOQ!R9</f>
        <v/>
      </c>
      <c r="C20" s="9">
        <f>$B20*62000000*$C$6</f>
        <v/>
      </c>
      <c r="D20" s="9">
        <f>$B20*62000000*$C$7</f>
        <v/>
      </c>
      <c r="E20" s="9">
        <f>$B20*62000000*$C$8</f>
        <v/>
      </c>
      <c r="F20" s="9">
        <f>$B20*62000000*$C$9</f>
        <v/>
      </c>
      <c r="G20" s="9">
        <f>$B20*62000000*$C$10</f>
        <v/>
      </c>
      <c r="H20" s="9">
        <f>$B20*62000000*$C$11</f>
        <v/>
      </c>
      <c r="I20" s="9">
        <f>SUM(C20:H20)</f>
        <v/>
      </c>
    </row>
    <row r="21">
      <c r="A21" s="8" t="inlineStr">
        <is>
          <t>Al Qassim (NQS)</t>
        </is>
      </c>
      <c r="B21" s="10">
        <f>Station_BOQ!R10</f>
        <v/>
      </c>
      <c r="C21" s="9">
        <f>$B21*62000000*$C$6</f>
        <v/>
      </c>
      <c r="D21" s="9">
        <f>$B21*62000000*$C$7</f>
        <v/>
      </c>
      <c r="E21" s="9">
        <f>$B21*62000000*$C$8</f>
        <v/>
      </c>
      <c r="F21" s="9">
        <f>$B21*62000000*$C$9</f>
        <v/>
      </c>
      <c r="G21" s="9">
        <f>$B21*62000000*$C$10</f>
        <v/>
      </c>
      <c r="H21" s="9">
        <f>$B21*62000000*$C$11</f>
        <v/>
      </c>
      <c r="I21" s="9">
        <f>SUM(C21:H21)</f>
        <v/>
      </c>
    </row>
    <row r="22">
      <c r="A22" s="8" t="inlineStr">
        <is>
          <t>Hufuf (EHF)</t>
        </is>
      </c>
      <c r="B22" s="10">
        <f>Station_BOQ!R11</f>
        <v/>
      </c>
      <c r="C22" s="9">
        <f>$B22*62000000*$C$6</f>
        <v/>
      </c>
      <c r="D22" s="9">
        <f>$B22*62000000*$C$7</f>
        <v/>
      </c>
      <c r="E22" s="9">
        <f>$B22*62000000*$C$8</f>
        <v/>
      </c>
      <c r="F22" s="9">
        <f>$B22*62000000*$C$9</f>
        <v/>
      </c>
      <c r="G22" s="9">
        <f>$B22*62000000*$C$10</f>
        <v/>
      </c>
      <c r="H22" s="9">
        <f>$B22*62000000*$C$11</f>
        <v/>
      </c>
      <c r="I22" s="9">
        <f>SUM(C22:H22)</f>
        <v/>
      </c>
    </row>
    <row r="23">
      <c r="A23" s="8" t="inlineStr">
        <is>
          <t>Al Majma'ah (NMJ)</t>
        </is>
      </c>
      <c r="B23" s="10">
        <f>Station_BOQ!R12</f>
        <v/>
      </c>
      <c r="C23" s="9">
        <f>$B23*62000000*$C$6</f>
        <v/>
      </c>
      <c r="D23" s="9">
        <f>$B23*62000000*$C$7</f>
        <v/>
      </c>
      <c r="E23" s="9">
        <f>$B23*62000000*$C$8</f>
        <v/>
      </c>
      <c r="F23" s="9">
        <f>$B23*62000000*$C$9</f>
        <v/>
      </c>
      <c r="G23" s="9">
        <f>$B23*62000000*$C$10</f>
        <v/>
      </c>
      <c r="H23" s="9">
        <f>$B23*62000000*$C$11</f>
        <v/>
      </c>
      <c r="I23" s="9">
        <f>SUM(C23:H23)</f>
        <v/>
      </c>
    </row>
    <row r="24">
      <c r="A24" s="8" t="inlineStr">
        <is>
          <t>KAEC (HKA)</t>
        </is>
      </c>
      <c r="B24" s="10">
        <f>Station_BOQ!R13</f>
        <v/>
      </c>
      <c r="C24" s="9">
        <f>$B24*62000000*$C$6</f>
        <v/>
      </c>
      <c r="D24" s="9">
        <f>$B24*62000000*$C$7</f>
        <v/>
      </c>
      <c r="E24" s="9">
        <f>$B24*62000000*$C$8</f>
        <v/>
      </c>
      <c r="F24" s="9">
        <f>$B24*62000000*$C$9</f>
        <v/>
      </c>
      <c r="G24" s="9">
        <f>$B24*62000000*$C$10</f>
        <v/>
      </c>
      <c r="H24" s="9">
        <f>$B24*62000000*$C$11</f>
        <v/>
      </c>
      <c r="I24" s="9">
        <f>SUM(C24:H24)</f>
        <v/>
      </c>
    </row>
    <row r="25">
      <c r="A25" s="8" t="inlineStr">
        <is>
          <t>Madinah (HMD)</t>
        </is>
      </c>
      <c r="B25" s="10">
        <f>Station_BOQ!R14</f>
        <v/>
      </c>
      <c r="C25" s="9">
        <f>$B25*62000000*$C$6</f>
        <v/>
      </c>
      <c r="D25" s="9">
        <f>$B25*62000000*$C$7</f>
        <v/>
      </c>
      <c r="E25" s="9">
        <f>$B25*62000000*$C$8</f>
        <v/>
      </c>
      <c r="F25" s="9">
        <f>$B25*62000000*$C$9</f>
        <v/>
      </c>
      <c r="G25" s="9">
        <f>$B25*62000000*$C$10</f>
        <v/>
      </c>
      <c r="H25" s="9">
        <f>$B25*62000000*$C$11</f>
        <v/>
      </c>
      <c r="I25" s="9">
        <f>SUM(C25:H25)</f>
        <v/>
      </c>
    </row>
    <row r="26">
      <c r="A26" s="8" t="inlineStr">
        <is>
          <t>Abqaiq (EAB)</t>
        </is>
      </c>
      <c r="B26" s="10">
        <f>Station_BOQ!R15</f>
        <v/>
      </c>
      <c r="C26" s="9">
        <f>$B26*62000000*$C$6</f>
        <v/>
      </c>
      <c r="D26" s="9">
        <f>$B26*62000000*$C$7</f>
        <v/>
      </c>
      <c r="E26" s="9">
        <f>$B26*62000000*$C$8</f>
        <v/>
      </c>
      <c r="F26" s="9">
        <f>$B26*62000000*$C$9</f>
        <v/>
      </c>
      <c r="G26" s="9">
        <f>$B26*62000000*$C$10</f>
        <v/>
      </c>
      <c r="H26" s="9">
        <f>$B26*62000000*$C$11</f>
        <v/>
      </c>
      <c r="I26" s="9">
        <f>SUM(C26:H26)</f>
        <v/>
      </c>
    </row>
    <row r="27">
      <c r="A27" s="8" t="inlineStr">
        <is>
          <t>Hail (NHL)</t>
        </is>
      </c>
      <c r="B27" s="10">
        <f>Station_BOQ!R16</f>
        <v/>
      </c>
      <c r="C27" s="9">
        <f>$B27*62000000*$C$6</f>
        <v/>
      </c>
      <c r="D27" s="9">
        <f>$B27*62000000*$C$7</f>
        <v/>
      </c>
      <c r="E27" s="9">
        <f>$B27*62000000*$C$8</f>
        <v/>
      </c>
      <c r="F27" s="9">
        <f>$B27*62000000*$C$9</f>
        <v/>
      </c>
      <c r="G27" s="9">
        <f>$B27*62000000*$C$10</f>
        <v/>
      </c>
      <c r="H27" s="9">
        <f>$B27*62000000*$C$11</f>
        <v/>
      </c>
      <c r="I27" s="9">
        <f>SUM(C27:H27)</f>
        <v/>
      </c>
    </row>
    <row r="28">
      <c r="A28" s="8" t="inlineStr">
        <is>
          <t>Al Jouf (NJF)</t>
        </is>
      </c>
      <c r="B28" s="10">
        <f>Station_BOQ!R17</f>
        <v/>
      </c>
      <c r="C28" s="9">
        <f>$B28*62000000*$C$6</f>
        <v/>
      </c>
      <c r="D28" s="9">
        <f>$B28*62000000*$C$7</f>
        <v/>
      </c>
      <c r="E28" s="9">
        <f>$B28*62000000*$C$8</f>
        <v/>
      </c>
      <c r="F28" s="9">
        <f>$B28*62000000*$C$9</f>
        <v/>
      </c>
      <c r="G28" s="9">
        <f>$B28*62000000*$C$10</f>
        <v/>
      </c>
      <c r="H28" s="9">
        <f>$B28*62000000*$C$11</f>
        <v/>
      </c>
      <c r="I28" s="9">
        <f>SUM(C28:H28)</f>
        <v/>
      </c>
    </row>
    <row r="29">
      <c r="A29" s="8" t="inlineStr">
        <is>
          <t>Al Qurayyat (NQR)</t>
        </is>
      </c>
      <c r="B29" s="10">
        <f>Station_BOQ!R18</f>
        <v/>
      </c>
      <c r="C29" s="9">
        <f>$B29*62000000*$C$6</f>
        <v/>
      </c>
      <c r="D29" s="9">
        <f>$B29*62000000*$C$7</f>
        <v/>
      </c>
      <c r="E29" s="9">
        <f>$B29*62000000*$C$8</f>
        <v/>
      </c>
      <c r="F29" s="9">
        <f>$B29*62000000*$C$9</f>
        <v/>
      </c>
      <c r="G29" s="9">
        <f>$B29*62000000*$C$10</f>
        <v/>
      </c>
      <c r="H29" s="9">
        <f>$B29*62000000*$C$11</f>
        <v/>
      </c>
      <c r="I29" s="9">
        <f>SUM(C29:H29)</f>
        <v/>
      </c>
    </row>
    <row r="30">
      <c r="A30" s="11" t="inlineStr">
        <is>
          <t>Total</t>
        </is>
      </c>
      <c r="B30" s="13">
        <f>SUM(B16:B29)</f>
        <v/>
      </c>
      <c r="C30" s="12">
        <f>SUM(C16:C29)</f>
        <v/>
      </c>
      <c r="D30" s="12">
        <f>SUM(D16:D29)</f>
        <v/>
      </c>
      <c r="E30" s="12">
        <f>SUM(E16:E29)</f>
        <v/>
      </c>
      <c r="F30" s="12">
        <f>SUM(F16:F29)</f>
        <v/>
      </c>
      <c r="G30" s="12">
        <f>SUM(G16:G29)</f>
        <v/>
      </c>
      <c r="H30" s="12">
        <f>SUM(H16:H29)</f>
        <v/>
      </c>
      <c r="I30" s="12">
        <f>SUM(I16:I29)</f>
        <v/>
      </c>
    </row>
    <row r="32">
      <c r="A32" s="2" t="inlineStr">
        <is>
          <t>Check: MS1 + stations MS2-MS7 = total price</t>
        </is>
      </c>
      <c r="D32" s="14">
        <f>D5+I30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13" customWidth="1" min="3" max="3"/>
    <col width="62" customWidth="1" min="4" max="4"/>
    <col width="22" customWidth="1" min="5" max="5"/>
    <col width="14" customWidth="1" min="6" max="6"/>
    <col width="10" customWidth="1" min="7" max="7"/>
    <col width="12" customWidth="1" min="8" max="8"/>
    <col width="10" customWidth="1" min="9" max="9"/>
    <col width="11" customWidth="1" min="10" max="10"/>
    <col width="15" customWidth="1" min="11" max="11"/>
    <col width="11" customWidth="1" min="12" max="12"/>
    <col width="15" customWidth="1" min="13" max="13"/>
    <col width="15" customWidth="1" min="14" max="14"/>
    <col width="10" customWidth="1" min="15" max="15"/>
    <col width="70" customWidth="1" min="16" max="16"/>
    <col width="58" customWidth="1" min="17" max="17"/>
    <col width="11" customWidth="1" min="18" max="18"/>
    <col width="11" customWidth="1" min="19" max="19"/>
    <col width="12" customWidth="1" min="20" max="20"/>
    <col width="12" customWidth="1" min="21" max="21"/>
    <col width="10" customWidth="1" min="22" max="22"/>
  </cols>
  <sheetData>
    <row r="1">
      <c r="A1" s="6" t="inlineStr">
        <is>
          <t>Activity cost mapping: how each activity cost was distributed from the BOQ</t>
        </is>
      </c>
    </row>
    <row r="2">
      <c r="A2" s="3" t="inlineStr">
        <is>
          <t>BOQ ID uses the Annex 3 section codes A1 to A6; the shared per-railway packages carry derived IDs SH-xx. Cost = milestone amount (payment condition x station share of the BOQ) x distribution key. Column M recomputes it with formulas; column N is the whole-riyal value loaded in P6.</t>
        </is>
      </c>
    </row>
    <row r="4" ht="32" customHeight="1">
      <c r="A4" s="7" t="inlineStr">
        <is>
          <t>BOQ ID</t>
        </is>
      </c>
      <c r="B4" s="7" t="inlineStr">
        <is>
          <t>BOQ Description</t>
        </is>
      </c>
      <c r="C4" s="7" t="inlineStr">
        <is>
          <t>Activity ID</t>
        </is>
      </c>
      <c r="D4" s="7" t="inlineStr">
        <is>
          <t>Activity name</t>
        </is>
      </c>
      <c r="E4" s="7" t="inlineStr">
        <is>
          <t>WBS</t>
        </is>
      </c>
      <c r="F4" s="7" t="inlineStr">
        <is>
          <t>EPC phase</t>
        </is>
      </c>
      <c r="G4" s="7" t="inlineStr">
        <is>
          <t>Station</t>
        </is>
      </c>
      <c r="H4" s="7" t="inlineStr">
        <is>
          <t>Payment milestone</t>
        </is>
      </c>
      <c r="I4" s="7" t="inlineStr">
        <is>
          <t>Milestone %</t>
        </is>
      </c>
      <c r="J4" s="7" t="inlineStr">
        <is>
          <t>Station price share</t>
        </is>
      </c>
      <c r="K4" s="7" t="inlineStr">
        <is>
          <t>Milestone amount (SAR)</t>
        </is>
      </c>
      <c r="L4" s="7" t="inlineStr">
        <is>
          <t>Distribution key</t>
        </is>
      </c>
      <c r="M4" s="7" t="inlineStr">
        <is>
          <t>Cost recomputed</t>
        </is>
      </c>
      <c r="N4" s="7" t="inlineStr">
        <is>
          <t>Cost in P6 (SAR)</t>
        </is>
      </c>
      <c r="O4" s="7" t="inlineStr">
        <is>
          <t>Difference</t>
        </is>
      </c>
      <c r="P4" s="7" t="inlineStr">
        <is>
          <t>Distribution basis</t>
        </is>
      </c>
      <c r="Q4" s="7" t="inlineStr">
        <is>
          <t>Primary BOQ source</t>
        </is>
      </c>
      <c r="R4" s="7" t="inlineStr">
        <is>
          <t>Progress points</t>
        </is>
      </c>
      <c r="S4" s="7" t="inlineStr">
        <is>
          <t>Progress % of project</t>
        </is>
      </c>
      <c r="T4" s="7" t="inlineStr">
        <is>
          <t>Start</t>
        </is>
      </c>
      <c r="U4" s="7" t="inlineStr">
        <is>
          <t>Finish</t>
        </is>
      </c>
      <c r="V4" s="7" t="inlineStr">
        <is>
          <t>Duration (work days)</t>
        </is>
      </c>
    </row>
    <row r="5">
      <c r="A5" s="8" t="inlineStr">
        <is>
          <t>TOTAL</t>
        </is>
      </c>
      <c r="B5" s="8" t="inlineStr">
        <is>
          <t>Contract price (Annex 3 total, SAR 62,000,000): 20% mobilization payment, clause 15</t>
        </is>
      </c>
      <c r="C5" s="8" t="inlineStr">
        <is>
          <t>PRJ-A1010</t>
        </is>
      </c>
      <c r="D5" s="8" t="inlineStr">
        <is>
          <t>Performance security, insurance and key personnel approval</t>
        </is>
      </c>
      <c r="E5" s="8" t="inlineStr">
        <is>
          <t>PM.MOB</t>
        </is>
      </c>
      <c r="F5" s="8" t="inlineStr">
        <is>
          <t>Mobilization</t>
        </is>
      </c>
      <c r="G5" s="8" t="inlineStr">
        <is>
          <t>PRJ</t>
        </is>
      </c>
      <c r="H5" s="8" t="inlineStr">
        <is>
          <t>MS1</t>
        </is>
      </c>
      <c r="I5" s="16" t="n">
        <v>0.2</v>
      </c>
      <c r="J5" s="10" t="n"/>
      <c r="K5" s="9">
        <f>Payment_Milestones!D5</f>
        <v/>
      </c>
      <c r="L5" s="18" t="n">
        <v>0.15</v>
      </c>
      <c r="M5" s="9">
        <f>ROUND(K5*L5,0)</f>
        <v/>
      </c>
      <c r="N5" s="9" t="n">
        <v>1859999</v>
      </c>
      <c r="O5" s="9">
        <f>N5-M5</f>
        <v/>
      </c>
      <c r="P5" s="8" t="inlineStr">
        <is>
          <t>MS1 Mobilization 20% of the total price (SAR 12,400,000) x key 15%</t>
        </is>
      </c>
      <c r="Q5" s="8" t="inlineStr">
        <is>
          <t>Contract price (62,000,000) x 20% mobilization payment (contract clause 15)</t>
        </is>
      </c>
      <c r="R5" s="9" t="n">
        <v>400</v>
      </c>
      <c r="S5" s="19">
        <f>R5/1000</f>
        <v/>
      </c>
      <c r="T5" s="20" t="n">
        <v>46327</v>
      </c>
      <c r="U5" s="20" t="n">
        <v>46338</v>
      </c>
      <c r="V5" s="8" t="n">
        <v>10</v>
      </c>
    </row>
    <row r="6">
      <c r="A6" s="8" t="inlineStr">
        <is>
          <t>TOTAL</t>
        </is>
      </c>
      <c r="B6" s="8" t="inlineStr">
        <is>
          <t>Contract price (Annex 3 total, SAR 62,000,000): 20% mobilization payment, clause 15</t>
        </is>
      </c>
      <c r="C6" s="8" t="inlineStr">
        <is>
          <t>PRJ-A1020</t>
        </is>
      </c>
      <c r="D6" s="8" t="inlineStr">
        <is>
          <t>Initial baseline programme (Primavera) covering mobilization and survey</t>
        </is>
      </c>
      <c r="E6" s="8" t="inlineStr">
        <is>
          <t>PM.MOB</t>
        </is>
      </c>
      <c r="F6" s="8" t="inlineStr">
        <is>
          <t>Mobilization</t>
        </is>
      </c>
      <c r="G6" s="8" t="inlineStr">
        <is>
          <t>PRJ</t>
        </is>
      </c>
      <c r="H6" s="8" t="inlineStr">
        <is>
          <t>MS1</t>
        </is>
      </c>
      <c r="I6" s="16" t="n">
        <v>0.2</v>
      </c>
      <c r="J6" s="10" t="n"/>
      <c r="K6" s="9">
        <f>Payment_Milestones!D5</f>
        <v/>
      </c>
      <c r="L6" s="18" t="n">
        <v>0.1</v>
      </c>
      <c r="M6" s="9">
        <f>ROUND(K6*L6,0)</f>
        <v/>
      </c>
      <c r="N6" s="9" t="n">
        <v>1239999</v>
      </c>
      <c r="O6" s="9">
        <f>N6-M6</f>
        <v/>
      </c>
      <c r="P6" s="8" t="inlineStr">
        <is>
          <t>MS1 Mobilization 20% of the total price (SAR 12,400,000) x key 10%</t>
        </is>
      </c>
      <c r="Q6" s="8" t="inlineStr">
        <is>
          <t>Contract price (62,000,000) x 20% mobilization payment (contract clause 15)</t>
        </is>
      </c>
      <c r="R6" s="9" t="n">
        <v>200</v>
      </c>
      <c r="S6" s="19">
        <f>R6/1000</f>
        <v/>
      </c>
      <c r="T6" s="20" t="n">
        <v>46327</v>
      </c>
      <c r="U6" s="20" t="n">
        <v>46335</v>
      </c>
      <c r="V6" s="8" t="n">
        <v>7</v>
      </c>
    </row>
    <row r="7">
      <c r="A7" s="8" t="inlineStr">
        <is>
          <t>-</t>
        </is>
      </c>
      <c r="B7" s="8" t="inlineStr">
        <is>
          <t>No BOQ cost: administrative or review step with no payment milestone</t>
        </is>
      </c>
      <c r="C7" s="8" t="inlineStr">
        <is>
          <t>PRJ-A1030</t>
        </is>
      </c>
      <c r="D7" s="8" t="inlineStr">
        <is>
          <t>SAR review and approval of initial baseline</t>
        </is>
      </c>
      <c r="E7" s="8" t="inlineStr">
        <is>
          <t>PM.MOB</t>
        </is>
      </c>
      <c r="F7" s="8" t="inlineStr">
        <is>
          <t>Mobilization</t>
        </is>
      </c>
      <c r="G7" s="8" t="inlineStr">
        <is>
          <t>PRJ</t>
        </is>
      </c>
      <c r="H7" s="8" t="inlineStr"/>
      <c r="I7" s="16" t="n">
        <v>0</v>
      </c>
      <c r="J7" s="10" t="n"/>
      <c r="K7" s="9" t="n">
        <v>0</v>
      </c>
      <c r="L7" s="18" t="n">
        <v>0</v>
      </c>
      <c r="M7" s="9" t="n">
        <v>0</v>
      </c>
      <c r="N7" s="9" t="n">
        <v>0</v>
      </c>
      <c r="O7" s="9">
        <f>N7-M7</f>
        <v/>
      </c>
      <c r="P7" s="8" t="inlineStr">
        <is>
          <t>No payment milestone attached (administrative approval or review step)</t>
        </is>
      </c>
      <c r="Q7" s="8" t="inlineStr">
        <is>
          <t>-</t>
        </is>
      </c>
      <c r="R7" s="9" t="n">
        <v>200</v>
      </c>
      <c r="S7" s="19">
        <f>R7/1000</f>
        <v/>
      </c>
      <c r="T7" s="20" t="n">
        <v>46336</v>
      </c>
      <c r="U7" s="20" t="n">
        <v>46356</v>
      </c>
      <c r="V7" s="8" t="n">
        <v>15</v>
      </c>
    </row>
    <row r="8">
      <c r="A8" s="8" t="inlineStr">
        <is>
          <t>TOTAL</t>
        </is>
      </c>
      <c r="B8" s="8" t="inlineStr">
        <is>
          <t>Contract price (Annex 3 total, SAR 62,000,000): 20% mobilization payment, clause 15</t>
        </is>
      </c>
      <c r="C8" s="8" t="inlineStr">
        <is>
          <t>PRJ-A1040</t>
        </is>
      </c>
      <c r="D8" s="8" t="inlineStr">
        <is>
          <t>Mobilization: site establishment, offices, personnel and tools</t>
        </is>
      </c>
      <c r="E8" s="8" t="inlineStr">
        <is>
          <t>PM.MOB</t>
        </is>
      </c>
      <c r="F8" s="8" t="inlineStr">
        <is>
          <t>Mobilization</t>
        </is>
      </c>
      <c r="G8" s="8" t="inlineStr">
        <is>
          <t>PRJ</t>
        </is>
      </c>
      <c r="H8" s="8" t="inlineStr">
        <is>
          <t>MS1</t>
        </is>
      </c>
      <c r="I8" s="16" t="n">
        <v>0.2</v>
      </c>
      <c r="J8" s="10" t="n"/>
      <c r="K8" s="9">
        <f>Payment_Milestones!D5</f>
        <v/>
      </c>
      <c r="L8" s="18" t="n">
        <v>0.45</v>
      </c>
      <c r="M8" s="9">
        <f>ROUND(K8*L8,0)</f>
        <v/>
      </c>
      <c r="N8" s="9" t="n">
        <v>5579999</v>
      </c>
      <c r="O8" s="9">
        <f>N8-M8</f>
        <v/>
      </c>
      <c r="P8" s="8" t="inlineStr">
        <is>
          <t>MS1 Mobilization 20% of the total price (SAR 12,400,000) x key 45%</t>
        </is>
      </c>
      <c r="Q8" s="8" t="inlineStr">
        <is>
          <t>Contract price (62,000,000) x 20% mobilization payment (contract clause 15)</t>
        </is>
      </c>
      <c r="R8" s="9" t="n">
        <v>700</v>
      </c>
      <c r="S8" s="19">
        <f>R8/1000</f>
        <v/>
      </c>
      <c r="T8" s="20" t="n">
        <v>46334</v>
      </c>
      <c r="U8" s="20" t="n">
        <v>46366</v>
      </c>
      <c r="V8" s="8" t="n">
        <v>25</v>
      </c>
    </row>
    <row r="9">
      <c r="A9" s="8" t="inlineStr">
        <is>
          <t>TOTAL</t>
        </is>
      </c>
      <c r="B9" s="8" t="inlineStr">
        <is>
          <t>Contract price (Annex 3 total, SAR 62,000,000): 20% mobilization payment, clause 15</t>
        </is>
      </c>
      <c r="C9" s="8" t="inlineStr">
        <is>
          <t>PRJ-A1050</t>
        </is>
      </c>
      <c r="D9" s="8" t="inlineStr">
        <is>
          <t>Mobilization submittals: QC programme and ITP, HSE, security, procurement and shipping plan</t>
        </is>
      </c>
      <c r="E9" s="8" t="inlineStr">
        <is>
          <t>PM.MOB</t>
        </is>
      </c>
      <c r="F9" s="8" t="inlineStr">
        <is>
          <t>Mobilization</t>
        </is>
      </c>
      <c r="G9" s="8" t="inlineStr">
        <is>
          <t>PRJ</t>
        </is>
      </c>
      <c r="H9" s="8" t="inlineStr">
        <is>
          <t>MS1</t>
        </is>
      </c>
      <c r="I9" s="16" t="n">
        <v>0.2</v>
      </c>
      <c r="J9" s="10" t="n"/>
      <c r="K9" s="9">
        <f>Payment_Milestones!D5</f>
        <v/>
      </c>
      <c r="L9" s="18" t="n">
        <v>0.3</v>
      </c>
      <c r="M9" s="9">
        <f>ROUND(K9*L9,0)</f>
        <v/>
      </c>
      <c r="N9" s="9" t="n">
        <v>3719999</v>
      </c>
      <c r="O9" s="9">
        <f>N9-M9</f>
        <v/>
      </c>
      <c r="P9" s="8" t="inlineStr">
        <is>
          <t>MS1 Mobilization 20% of the total price (SAR 12,400,000) x key 30%</t>
        </is>
      </c>
      <c r="Q9" s="8" t="inlineStr">
        <is>
          <t>Contract price (62,000,000) x 20% mobilization payment (contract clause 15)</t>
        </is>
      </c>
      <c r="R9" s="9" t="n">
        <v>600</v>
      </c>
      <c r="S9" s="19">
        <f>R9/1000</f>
        <v/>
      </c>
      <c r="T9" s="20" t="n">
        <v>46334</v>
      </c>
      <c r="U9" s="20" t="n">
        <v>46359</v>
      </c>
      <c r="V9" s="8" t="n">
        <v>20</v>
      </c>
    </row>
    <row r="10">
      <c r="A10" s="8" t="inlineStr">
        <is>
          <t>-</t>
        </is>
      </c>
      <c r="B10" s="8" t="inlineStr">
        <is>
          <t>No BOQ cost: administrative or review step with no payment milestone</t>
        </is>
      </c>
      <c r="C10" s="8" t="inlineStr">
        <is>
          <t>PRJ-A1060</t>
        </is>
      </c>
      <c r="D10" s="8" t="inlineStr">
        <is>
          <t>Site access permits for the surveys of all stations: application and approval (two months)</t>
        </is>
      </c>
      <c r="E10" s="8" t="inlineStr">
        <is>
          <t>PM.MOB</t>
        </is>
      </c>
      <c r="F10" s="8" t="inlineStr">
        <is>
          <t>Mobilization</t>
        </is>
      </c>
      <c r="G10" s="8" t="inlineStr">
        <is>
          <t>PRJ</t>
        </is>
      </c>
      <c r="H10" s="8" t="inlineStr"/>
      <c r="I10" s="16" t="n">
        <v>0</v>
      </c>
      <c r="J10" s="10" t="n"/>
      <c r="K10" s="9" t="n">
        <v>0</v>
      </c>
      <c r="L10" s="18" t="n">
        <v>0</v>
      </c>
      <c r="M10" s="9" t="n">
        <v>0</v>
      </c>
      <c r="N10" s="9" t="n">
        <v>0</v>
      </c>
      <c r="O10" s="9">
        <f>N10-M10</f>
        <v/>
      </c>
      <c r="P10" s="8" t="inlineStr">
        <is>
          <t>No payment milestone attached (administrative approval or review step)</t>
        </is>
      </c>
      <c r="Q10" s="8" t="inlineStr">
        <is>
          <t>-</t>
        </is>
      </c>
      <c r="R10" s="9" t="n">
        <v>100</v>
      </c>
      <c r="S10" s="19">
        <f>R10/1000</f>
        <v/>
      </c>
      <c r="T10" s="20" t="n">
        <v>46327</v>
      </c>
      <c r="U10" s="20" t="n">
        <v>46387</v>
      </c>
      <c r="V10" s="8" t="n">
        <v>45</v>
      </c>
    </row>
    <row r="11">
      <c r="A11" s="8" t="inlineStr">
        <is>
          <t>-</t>
        </is>
      </c>
      <c r="B11" s="8" t="inlineStr">
        <is>
          <t>No BOQ cost: administrative or review step with no payment milestone</t>
        </is>
      </c>
      <c r="C11" s="8" t="inlineStr">
        <is>
          <t>PRJ-A2010</t>
        </is>
      </c>
      <c r="D11" s="8" t="inlineStr">
        <is>
          <t>Detailed baseline programme (after mobilization)</t>
        </is>
      </c>
      <c r="E11" s="8" t="inlineStr">
        <is>
          <t>PM.MOB</t>
        </is>
      </c>
      <c r="F11" s="8" t="inlineStr">
        <is>
          <t>Project management</t>
        </is>
      </c>
      <c r="G11" s="8" t="inlineStr">
        <is>
          <t>PRJ</t>
        </is>
      </c>
      <c r="H11" s="8" t="inlineStr"/>
      <c r="I11" s="16" t="n">
        <v>0</v>
      </c>
      <c r="J11" s="10" t="n"/>
      <c r="K11" s="9" t="n">
        <v>0</v>
      </c>
      <c r="L11" s="18" t="n">
        <v>0</v>
      </c>
      <c r="M11" s="9" t="n">
        <v>0</v>
      </c>
      <c r="N11" s="9" t="n">
        <v>0</v>
      </c>
      <c r="O11" s="9">
        <f>N11-M11</f>
        <v/>
      </c>
      <c r="P11" s="8" t="inlineStr">
        <is>
          <t>No payment milestone attached (administrative approval or review step)</t>
        </is>
      </c>
      <c r="Q11" s="8" t="inlineStr">
        <is>
          <t>-</t>
        </is>
      </c>
      <c r="R11" s="9" t="n">
        <v>300</v>
      </c>
      <c r="S11" s="19">
        <f>R11/1000</f>
        <v/>
      </c>
      <c r="T11" s="20" t="n">
        <v>46390</v>
      </c>
      <c r="U11" s="20" t="n">
        <v>46408</v>
      </c>
      <c r="V11" s="8" t="n">
        <v>15</v>
      </c>
    </row>
    <row r="12">
      <c r="A12" s="8" t="inlineStr">
        <is>
          <t>-</t>
        </is>
      </c>
      <c r="B12" s="8" t="inlineStr">
        <is>
          <t>No BOQ cost: administrative or review step with no payment milestone</t>
        </is>
      </c>
      <c r="C12" s="8" t="inlineStr">
        <is>
          <t>PRJ-A2020</t>
        </is>
      </c>
      <c r="D12" s="8" t="inlineStr">
        <is>
          <t>SAR review and approval of detailed baseline</t>
        </is>
      </c>
      <c r="E12" s="8" t="inlineStr">
        <is>
          <t>PM.MOB</t>
        </is>
      </c>
      <c r="F12" s="8" t="inlineStr">
        <is>
          <t>Project management</t>
        </is>
      </c>
      <c r="G12" s="8" t="inlineStr">
        <is>
          <t>PRJ</t>
        </is>
      </c>
      <c r="H12" s="8" t="inlineStr"/>
      <c r="I12" s="16" t="n">
        <v>0</v>
      </c>
      <c r="J12" s="10" t="n"/>
      <c r="K12" s="9" t="n">
        <v>0</v>
      </c>
      <c r="L12" s="18" t="n">
        <v>0</v>
      </c>
      <c r="M12" s="9" t="n">
        <v>0</v>
      </c>
      <c r="N12" s="9" t="n">
        <v>0</v>
      </c>
      <c r="O12" s="9">
        <f>N12-M12</f>
        <v/>
      </c>
      <c r="P12" s="8" t="inlineStr">
        <is>
          <t>No payment milestone attached (administrative approval or review step)</t>
        </is>
      </c>
      <c r="Q12" s="8" t="inlineStr">
        <is>
          <t>-</t>
        </is>
      </c>
      <c r="R12" s="9" t="n">
        <v>200</v>
      </c>
      <c r="S12" s="19">
        <f>R12/1000</f>
        <v/>
      </c>
      <c r="T12" s="20" t="n">
        <v>46411</v>
      </c>
      <c r="U12" s="20" t="n">
        <v>46429</v>
      </c>
      <c r="V12" s="8" t="n">
        <v>15</v>
      </c>
    </row>
    <row r="13">
      <c r="A13" s="8" t="inlineStr">
        <is>
          <t>-</t>
        </is>
      </c>
      <c r="B13" s="8" t="inlineStr">
        <is>
          <t>No BOQ cost: administrative or review step with no payment milestone</t>
        </is>
      </c>
      <c r="C13" s="8" t="inlineStr">
        <is>
          <t>PRJ-C1010</t>
        </is>
      </c>
      <c r="D13" s="8" t="inlineStr">
        <is>
          <t>Contract closeout pack and handover documentation</t>
        </is>
      </c>
      <c r="E13" s="8" t="inlineStr">
        <is>
          <t>PM.CLO</t>
        </is>
      </c>
      <c r="F13" s="8" t="inlineStr">
        <is>
          <t>Project management</t>
        </is>
      </c>
      <c r="G13" s="8" t="inlineStr">
        <is>
          <t>PRJ</t>
        </is>
      </c>
      <c r="H13" s="8" t="inlineStr"/>
      <c r="I13" s="16" t="n">
        <v>0</v>
      </c>
      <c r="J13" s="10" t="n"/>
      <c r="K13" s="9" t="n">
        <v>0</v>
      </c>
      <c r="L13" s="18" t="n">
        <v>0</v>
      </c>
      <c r="M13" s="9" t="n">
        <v>0</v>
      </c>
      <c r="N13" s="9" t="n">
        <v>0</v>
      </c>
      <c r="O13" s="9">
        <f>N13-M13</f>
        <v/>
      </c>
      <c r="P13" s="8" t="inlineStr">
        <is>
          <t>No payment milestone attached (administrative approval or review step)</t>
        </is>
      </c>
      <c r="Q13" s="8" t="inlineStr">
        <is>
          <t>-</t>
        </is>
      </c>
      <c r="R13" s="9" t="n">
        <v>1301</v>
      </c>
      <c r="S13" s="19">
        <f>R13/1000</f>
        <v/>
      </c>
      <c r="T13" s="20" t="n">
        <v>47374</v>
      </c>
      <c r="U13" s="20" t="n">
        <v>47388</v>
      </c>
      <c r="V13" s="8" t="n">
        <v>10</v>
      </c>
    </row>
    <row r="14">
      <c r="A14" s="8" t="inlineStr">
        <is>
          <t>SH-DES</t>
        </is>
      </c>
      <c r="B14" s="8" t="inlineStr">
        <is>
          <t>Design and engineering package (per railway, allocated to the station)</t>
        </is>
      </c>
      <c r="C14" s="8" t="inlineStr">
        <is>
          <t>NRY-E1010</t>
        </is>
      </c>
      <c r="D14" s="8" t="inlineStr">
        <is>
          <t>Survey: submittal of site survey and as-found report - Riyadh (Thumamah)</t>
        </is>
      </c>
      <c r="E14" s="8" t="inlineStr">
        <is>
          <t>ENG.NRY.SRV.SUB</t>
        </is>
      </c>
      <c r="F14" s="8" t="inlineStr">
        <is>
          <t>Engineering</t>
        </is>
      </c>
      <c r="G14" s="8" t="inlineStr">
        <is>
          <t>NRY</t>
        </is>
      </c>
      <c r="H14" s="8" t="inlineStr">
        <is>
          <t>MS2</t>
        </is>
      </c>
      <c r="I14" s="16" t="n">
        <v>0.1</v>
      </c>
      <c r="J14" s="10">
        <f>Station_BOQ!R5</f>
        <v/>
      </c>
      <c r="K14" s="9">
        <f>I14*62000000*J14</f>
        <v/>
      </c>
      <c r="L14" s="18" t="n">
        <v>0.06900000000000001</v>
      </c>
      <c r="M14" s="9">
        <f>ROUND(K14*L14,0)</f>
        <v/>
      </c>
      <c r="N14" s="9" t="n">
        <v>24017</v>
      </c>
      <c r="O14" s="9">
        <f>N14-M14</f>
        <v/>
      </c>
      <c r="P14" s="8" t="inlineStr">
        <is>
          <t>MS2 Engineering submittal 10% x station price share 5.61% | Design stage key 6.9% of the engineering-submittal milestone</t>
        </is>
      </c>
      <c r="Q14" s="8" t="inlineStr">
        <is>
          <t>Annex 3 Design and engineering package (railway) allocated by station hardware share</t>
        </is>
      </c>
      <c r="R14" s="9" t="n">
        <v>31</v>
      </c>
      <c r="S14" s="19">
        <f>R14/1000</f>
        <v/>
      </c>
      <c r="T14" s="20" t="n">
        <v>46390</v>
      </c>
      <c r="U14" s="20" t="n">
        <v>46399</v>
      </c>
      <c r="V14" s="8" t="n">
        <v>8</v>
      </c>
    </row>
    <row r="15">
      <c r="A15" s="8" t="inlineStr">
        <is>
          <t>SH-DES</t>
        </is>
      </c>
      <c r="B15" s="8" t="inlineStr">
        <is>
          <t>Design and engineering package (per railway, allocated to the station)</t>
        </is>
      </c>
      <c r="C15" s="8" t="inlineStr">
        <is>
          <t>NRY-E1020</t>
        </is>
      </c>
      <c r="D15" s="8" t="inlineStr">
        <is>
          <t>Survey: SAR approval of survey report - Riyadh (Thumamah)</t>
        </is>
      </c>
      <c r="E15" s="8" t="inlineStr">
        <is>
          <t>ENG.NRY.SRV.APR</t>
        </is>
      </c>
      <c r="F15" s="8" t="inlineStr">
        <is>
          <t>Engineering</t>
        </is>
      </c>
      <c r="G15" s="8" t="inlineStr">
        <is>
          <t>NRY</t>
        </is>
      </c>
      <c r="H15" s="8" t="inlineStr">
        <is>
          <t>MS3</t>
        </is>
      </c>
      <c r="I15" s="16" t="n">
        <v>0.1</v>
      </c>
      <c r="J15" s="10">
        <f>Station_BOQ!R5</f>
        <v/>
      </c>
      <c r="K15" s="9">
        <f>I15*62000000*J15</f>
        <v/>
      </c>
      <c r="L15" s="18" t="n">
        <v>0.05</v>
      </c>
      <c r="M15" s="9">
        <f>ROUND(K15*L15,0)</f>
        <v/>
      </c>
      <c r="N15" s="9" t="n">
        <v>17404</v>
      </c>
      <c r="O15" s="9">
        <f>N15-M15</f>
        <v/>
      </c>
      <c r="P15" s="8" t="inlineStr">
        <is>
          <t>MS3 SAR approval of engineering 10% x station price share 5.61% | Design stage key 5.0% of the SAR-approval milestone</t>
        </is>
      </c>
      <c r="Q15" s="8" t="inlineStr">
        <is>
          <t>Annex 3 Design and engineering package (railway) allocated by station hardware share</t>
        </is>
      </c>
      <c r="R15" s="9" t="n">
        <v>33</v>
      </c>
      <c r="S15" s="19">
        <f>R15/1000</f>
        <v/>
      </c>
      <c r="T15" s="20" t="n">
        <v>46400</v>
      </c>
      <c r="U15" s="20" t="n">
        <v>46420</v>
      </c>
      <c r="V15" s="8" t="n">
        <v>15</v>
      </c>
    </row>
    <row r="16">
      <c r="A16" s="8" t="inlineStr">
        <is>
          <t>SH-DES</t>
        </is>
      </c>
      <c r="B16" s="8" t="inlineStr">
        <is>
          <t>Design and engineering package (per railway, allocated to the station)</t>
        </is>
      </c>
      <c r="C16" s="8" t="inlineStr">
        <is>
          <t>NRY-E1030</t>
        </is>
      </c>
      <c r="D16" s="8" t="inlineStr">
        <is>
          <t>Concept design: submittal - Riyadh (Thumamah)</t>
        </is>
      </c>
      <c r="E16" s="8" t="inlineStr">
        <is>
          <t>ENG.NRY.CNC.SUB</t>
        </is>
      </c>
      <c r="F16" s="8" t="inlineStr">
        <is>
          <t>Engineering</t>
        </is>
      </c>
      <c r="G16" s="8" t="inlineStr">
        <is>
          <t>NRY</t>
        </is>
      </c>
      <c r="H16" s="8" t="inlineStr">
        <is>
          <t>MS2</t>
        </is>
      </c>
      <c r="I16" s="16" t="n">
        <v>0.1</v>
      </c>
      <c r="J16" s="10">
        <f>Station_BOQ!R5</f>
        <v/>
      </c>
      <c r="K16" s="9">
        <f>I16*62000000*J16</f>
        <v/>
      </c>
      <c r="L16" s="18" t="n">
        <v>0.098</v>
      </c>
      <c r="M16" s="9">
        <f>ROUND(K16*L16,0)</f>
        <v/>
      </c>
      <c r="N16" s="9" t="n">
        <v>34112</v>
      </c>
      <c r="O16" s="9">
        <f>N16-M16</f>
        <v/>
      </c>
      <c r="P16" s="8" t="inlineStr">
        <is>
          <t>MS2 Engineering submittal 10% x station price share 5.61% | Design stage key 9.8% of the engineering-submittal milestone</t>
        </is>
      </c>
      <c r="Q16" s="8" t="inlineStr">
        <is>
          <t>Annex 3 Design and engineering package (railway) allocated by station hardware share</t>
        </is>
      </c>
      <c r="R16" s="9" t="n">
        <v>22</v>
      </c>
      <c r="S16" s="19">
        <f>R16/1000</f>
        <v/>
      </c>
      <c r="T16" s="20" t="n">
        <v>46400</v>
      </c>
      <c r="U16" s="20" t="n">
        <v>46411</v>
      </c>
      <c r="V16" s="8" t="n">
        <v>8</v>
      </c>
    </row>
    <row r="17">
      <c r="A17" s="8" t="inlineStr">
        <is>
          <t>SH-DES</t>
        </is>
      </c>
      <c r="B17" s="8" t="inlineStr">
        <is>
          <t>Design and engineering package (per railway, allocated to the station)</t>
        </is>
      </c>
      <c r="C17" s="8" t="inlineStr">
        <is>
          <t>NRY-E1040</t>
        </is>
      </c>
      <c r="D17" s="8" t="inlineStr">
        <is>
          <t>Concept design: SAR review and approval - Riyadh (Thumamah)</t>
        </is>
      </c>
      <c r="E17" s="8" t="inlineStr">
        <is>
          <t>ENG.NRY.CNC.APR</t>
        </is>
      </c>
      <c r="F17" s="8" t="inlineStr">
        <is>
          <t>Engineering</t>
        </is>
      </c>
      <c r="G17" s="8" t="inlineStr">
        <is>
          <t>NRY</t>
        </is>
      </c>
      <c r="H17" s="8" t="inlineStr">
        <is>
          <t>MS3</t>
        </is>
      </c>
      <c r="I17" s="16" t="n">
        <v>0.1</v>
      </c>
      <c r="J17" s="10">
        <f>Station_BOQ!R5</f>
        <v/>
      </c>
      <c r="K17" s="9">
        <f>I17*62000000*J17</f>
        <v/>
      </c>
      <c r="L17" s="18" t="n">
        <v>0.1</v>
      </c>
      <c r="M17" s="9">
        <f>ROUND(K17*L17,0)</f>
        <v/>
      </c>
      <c r="N17" s="9" t="n">
        <v>34808</v>
      </c>
      <c r="O17" s="9">
        <f>N17-M17</f>
        <v/>
      </c>
      <c r="P17" s="8" t="inlineStr">
        <is>
          <t>MS3 SAR approval of engineering 10% x station price share 5.61% | Design stage key 10.0% of the SAR-approval milestone</t>
        </is>
      </c>
      <c r="Q17" s="8" t="inlineStr">
        <is>
          <t>Annex 3 Design and engineering package (railway) allocated by station hardware share</t>
        </is>
      </c>
      <c r="R17" s="9" t="n">
        <v>41</v>
      </c>
      <c r="S17" s="19">
        <f>R17/1000</f>
        <v/>
      </c>
      <c r="T17" s="20" t="n">
        <v>46412</v>
      </c>
      <c r="U17" s="20" t="n">
        <v>46432</v>
      </c>
      <c r="V17" s="8" t="n">
        <v>15</v>
      </c>
    </row>
    <row r="18">
      <c r="A18" s="8" t="inlineStr">
        <is>
          <t>SH-DES</t>
        </is>
      </c>
      <c r="B18" s="8" t="inlineStr">
        <is>
          <t>Design and engineering package (per railway, allocated to the station)</t>
        </is>
      </c>
      <c r="C18" s="8" t="inlineStr">
        <is>
          <t>NRY-E1050</t>
        </is>
      </c>
      <c r="D18" s="8" t="inlineStr">
        <is>
          <t>Preliminary design: submittal - Riyadh (Thumamah)</t>
        </is>
      </c>
      <c r="E18" s="8" t="inlineStr">
        <is>
          <t>ENG.NRY.PRE.SUB</t>
        </is>
      </c>
      <c r="F18" s="8" t="inlineStr">
        <is>
          <t>Engineering</t>
        </is>
      </c>
      <c r="G18" s="8" t="inlineStr">
        <is>
          <t>NRY</t>
        </is>
      </c>
      <c r="H18" s="8" t="inlineStr">
        <is>
          <t>MS2</t>
        </is>
      </c>
      <c r="I18" s="16" t="n">
        <v>0.1</v>
      </c>
      <c r="J18" s="10">
        <f>Station_BOQ!R5</f>
        <v/>
      </c>
      <c r="K18" s="9">
        <f>I18*62000000*J18</f>
        <v/>
      </c>
      <c r="L18" s="18" t="n">
        <v>0.196</v>
      </c>
      <c r="M18" s="9">
        <f>ROUND(K18*L18,0)</f>
        <v/>
      </c>
      <c r="N18" s="9" t="n">
        <v>68223</v>
      </c>
      <c r="O18" s="9">
        <f>N18-M18</f>
        <v/>
      </c>
      <c r="P18" s="8" t="inlineStr">
        <is>
          <t>MS2 Engineering submittal 10% x station price share 5.61% | Design stage key 19.6% of the engineering-submittal milestone</t>
        </is>
      </c>
      <c r="Q18" s="8" t="inlineStr">
        <is>
          <t>Annex 3 Design and engineering package (railway) allocated by station hardware share</t>
        </is>
      </c>
      <c r="R18" s="9" t="n">
        <v>55</v>
      </c>
      <c r="S18" s="19">
        <f>R18/1000</f>
        <v/>
      </c>
      <c r="T18" s="20" t="n">
        <v>46412</v>
      </c>
      <c r="U18" s="20" t="n">
        <v>46429</v>
      </c>
      <c r="V18" s="8" t="n">
        <v>14</v>
      </c>
    </row>
    <row r="19">
      <c r="A19" s="8" t="inlineStr">
        <is>
          <t>SH-DES</t>
        </is>
      </c>
      <c r="B19" s="8" t="inlineStr">
        <is>
          <t>Design and engineering package (per railway, allocated to the station)</t>
        </is>
      </c>
      <c r="C19" s="8" t="inlineStr">
        <is>
          <t>NRY-E1060</t>
        </is>
      </c>
      <c r="D19" s="8" t="inlineStr">
        <is>
          <t>Preliminary design: SAR review and approval - Riyadh (Thumamah)</t>
        </is>
      </c>
      <c r="E19" s="8" t="inlineStr">
        <is>
          <t>ENG.NRY.PRE.APR</t>
        </is>
      </c>
      <c r="F19" s="8" t="inlineStr">
        <is>
          <t>Engineering</t>
        </is>
      </c>
      <c r="G19" s="8" t="inlineStr">
        <is>
          <t>NRY</t>
        </is>
      </c>
      <c r="H19" s="8" t="inlineStr">
        <is>
          <t>MS3</t>
        </is>
      </c>
      <c r="I19" s="16" t="n">
        <v>0.1</v>
      </c>
      <c r="J19" s="10">
        <f>Station_BOQ!R5</f>
        <v/>
      </c>
      <c r="K19" s="9">
        <f>I19*62000000*J19</f>
        <v/>
      </c>
      <c r="L19" s="18" t="n">
        <v>0.2</v>
      </c>
      <c r="M19" s="9">
        <f>ROUND(K19*L19,0)</f>
        <v/>
      </c>
      <c r="N19" s="9" t="n">
        <v>69616</v>
      </c>
      <c r="O19" s="9">
        <f>N19-M19</f>
        <v/>
      </c>
      <c r="P19" s="8" t="inlineStr">
        <is>
          <t>MS3 SAR approval of engineering 10% x station price share 5.61% | Design stage key 20.0% of the SAR-approval milestone</t>
        </is>
      </c>
      <c r="Q19" s="8" t="inlineStr">
        <is>
          <t>Annex 3 Design and engineering package (railway) allocated by station hardware share</t>
        </is>
      </c>
      <c r="R19" s="9" t="n">
        <v>59</v>
      </c>
      <c r="S19" s="19">
        <f>R19/1000</f>
        <v/>
      </c>
      <c r="T19" s="20" t="n">
        <v>46432</v>
      </c>
      <c r="U19" s="20" t="n">
        <v>46460</v>
      </c>
      <c r="V19" s="8" t="n">
        <v>15</v>
      </c>
    </row>
    <row r="20">
      <c r="A20" s="8" t="inlineStr">
        <is>
          <t>SH-DES</t>
        </is>
      </c>
      <c r="B20" s="8" t="inlineStr">
        <is>
          <t>Design and engineering package (per railway, allocated to the station)</t>
        </is>
      </c>
      <c r="C20" s="8" t="inlineStr">
        <is>
          <t>NRY-E1070</t>
        </is>
      </c>
      <c r="D20" s="8" t="inlineStr">
        <is>
          <t>Detailed design: submittal (drawings, BOQ, data sheets) - Riyadh (Thumamah)</t>
        </is>
      </c>
      <c r="E20" s="8" t="inlineStr">
        <is>
          <t>ENG.NRY.DET.SUB</t>
        </is>
      </c>
      <c r="F20" s="8" t="inlineStr">
        <is>
          <t>Engineering</t>
        </is>
      </c>
      <c r="G20" s="8" t="inlineStr">
        <is>
          <t>NRY</t>
        </is>
      </c>
      <c r="H20" s="8" t="inlineStr">
        <is>
          <t>MS2</t>
        </is>
      </c>
      <c r="I20" s="16" t="n">
        <v>0.1</v>
      </c>
      <c r="J20" s="10">
        <f>Station_BOQ!R5</f>
        <v/>
      </c>
      <c r="K20" s="9">
        <f>I20*62000000*J20</f>
        <v/>
      </c>
      <c r="L20" s="18" t="n">
        <v>0.392</v>
      </c>
      <c r="M20" s="9">
        <f>ROUND(K20*L20,0)</f>
        <v/>
      </c>
      <c r="N20" s="9" t="n">
        <v>136447</v>
      </c>
      <c r="O20" s="9">
        <f>N20-M20</f>
        <v/>
      </c>
      <c r="P20" s="8" t="inlineStr">
        <is>
          <t>MS2 Engineering submittal 10% x station price share 5.61% | Design stage key 39.2% of the engineering-submittal milestone</t>
        </is>
      </c>
      <c r="Q20" s="8" t="inlineStr">
        <is>
          <t>Annex 3 Design and engineering package (railway) allocated by station hardware share</t>
        </is>
      </c>
      <c r="R20" s="9" t="n">
        <v>113</v>
      </c>
      <c r="S20" s="19">
        <f>R20/1000</f>
        <v/>
      </c>
      <c r="T20" s="20" t="n">
        <v>46432</v>
      </c>
      <c r="U20" s="20" t="n">
        <v>46469</v>
      </c>
      <c r="V20" s="8" t="n">
        <v>22</v>
      </c>
    </row>
    <row r="21">
      <c r="A21" s="8" t="inlineStr">
        <is>
          <t>SH-DES</t>
        </is>
      </c>
      <c r="B21" s="8" t="inlineStr">
        <is>
          <t>Design and engineering package (per railway, allocated to the station)</t>
        </is>
      </c>
      <c r="C21" s="8" t="inlineStr">
        <is>
          <t>NRY-E1080</t>
        </is>
      </c>
      <c r="D21" s="8" t="inlineStr">
        <is>
          <t>Detailed design: SAR review and approval - Riyadh (Thumamah)</t>
        </is>
      </c>
      <c r="E21" s="8" t="inlineStr">
        <is>
          <t>ENG.NRY.DET.APR</t>
        </is>
      </c>
      <c r="F21" s="8" t="inlineStr">
        <is>
          <t>Engineering</t>
        </is>
      </c>
      <c r="G21" s="8" t="inlineStr">
        <is>
          <t>NRY</t>
        </is>
      </c>
      <c r="H21" s="8" t="inlineStr">
        <is>
          <t>MS3</t>
        </is>
      </c>
      <c r="I21" s="16" t="n">
        <v>0.1</v>
      </c>
      <c r="J21" s="10">
        <f>Station_BOQ!R5</f>
        <v/>
      </c>
      <c r="K21" s="9">
        <f>I21*62000000*J21</f>
        <v/>
      </c>
      <c r="L21" s="18" t="n">
        <v>0.4</v>
      </c>
      <c r="M21" s="9">
        <f>ROUND(K21*L21,0)</f>
        <v/>
      </c>
      <c r="N21" s="9" t="n">
        <v>139231</v>
      </c>
      <c r="O21" s="9">
        <f>N21-M21</f>
        <v/>
      </c>
      <c r="P21" s="8" t="inlineStr">
        <is>
          <t>MS3 SAR approval of engineering 10% x station price share 5.61% | Design stage key 40.0% of the SAR-approval milestone</t>
        </is>
      </c>
      <c r="Q21" s="8" t="inlineStr">
        <is>
          <t>Annex 3 Design and engineering package (railway) allocated by station hardware share</t>
        </is>
      </c>
      <c r="R21" s="9" t="n">
        <v>77</v>
      </c>
      <c r="S21" s="19">
        <f>R21/1000</f>
        <v/>
      </c>
      <c r="T21" s="20" t="n">
        <v>46470</v>
      </c>
      <c r="U21" s="20" t="n">
        <v>46490</v>
      </c>
      <c r="V21" s="8" t="n">
        <v>15</v>
      </c>
    </row>
    <row r="22">
      <c r="A22" s="8" t="inlineStr">
        <is>
          <t>SH-DES</t>
        </is>
      </c>
      <c r="B22" s="8" t="inlineStr">
        <is>
          <t>Design and engineering package (per railway, allocated to the station)</t>
        </is>
      </c>
      <c r="C22" s="8" t="inlineStr">
        <is>
          <t>NRY-E1090</t>
        </is>
      </c>
      <c r="D22" s="8" t="inlineStr">
        <is>
          <t>IFC and shop drawings: submittal - Riyadh (Thumamah)</t>
        </is>
      </c>
      <c r="E22" s="8" t="inlineStr">
        <is>
          <t>ENG.NRY.IFC.SUB</t>
        </is>
      </c>
      <c r="F22" s="8" t="inlineStr">
        <is>
          <t>Engineering</t>
        </is>
      </c>
      <c r="G22" s="8" t="inlineStr">
        <is>
          <t>NRY</t>
        </is>
      </c>
      <c r="H22" s="8" t="inlineStr">
        <is>
          <t>MS2</t>
        </is>
      </c>
      <c r="I22" s="16" t="n">
        <v>0.1</v>
      </c>
      <c r="J22" s="10">
        <f>Station_BOQ!R5</f>
        <v/>
      </c>
      <c r="K22" s="9">
        <f>I22*62000000*J22</f>
        <v/>
      </c>
      <c r="L22" s="18" t="n">
        <v>0.196</v>
      </c>
      <c r="M22" s="9">
        <f>ROUND(K22*L22,0)</f>
        <v/>
      </c>
      <c r="N22" s="9" t="n">
        <v>68223</v>
      </c>
      <c r="O22" s="9">
        <f>N22-M22</f>
        <v/>
      </c>
      <c r="P22" s="8" t="inlineStr">
        <is>
          <t>MS2 Engineering submittal 10% x station price share 5.61% | Design stage key 19.6% of the engineering-submittal milestone</t>
        </is>
      </c>
      <c r="Q22" s="8" t="inlineStr">
        <is>
          <t>Annex 3 Design and engineering package (railway) allocated by station hardware share</t>
        </is>
      </c>
      <c r="R22" s="9" t="n">
        <v>51</v>
      </c>
      <c r="S22" s="19">
        <f>R22/1000</f>
        <v/>
      </c>
      <c r="T22" s="20" t="n">
        <v>46470</v>
      </c>
      <c r="U22" s="20" t="n">
        <v>46485</v>
      </c>
      <c r="V22" s="8" t="n">
        <v>12</v>
      </c>
    </row>
    <row r="23">
      <c r="A23" s="8" t="inlineStr">
        <is>
          <t>SH-DES</t>
        </is>
      </c>
      <c r="B23" s="8" t="inlineStr">
        <is>
          <t>Design and engineering package (per railway, allocated to the station)</t>
        </is>
      </c>
      <c r="C23" s="8" t="inlineStr">
        <is>
          <t>NRY-E1100</t>
        </is>
      </c>
      <c r="D23" s="8" t="inlineStr">
        <is>
          <t>IFC and shop drawings: SAR approval and release - Riyadh (Thumamah)</t>
        </is>
      </c>
      <c r="E23" s="8" t="inlineStr">
        <is>
          <t>ENG.NRY.IFC.APR</t>
        </is>
      </c>
      <c r="F23" s="8" t="inlineStr">
        <is>
          <t>Engineering</t>
        </is>
      </c>
      <c r="G23" s="8" t="inlineStr">
        <is>
          <t>NRY</t>
        </is>
      </c>
      <c r="H23" s="8" t="inlineStr">
        <is>
          <t>MS3</t>
        </is>
      </c>
      <c r="I23" s="16" t="n">
        <v>0.1</v>
      </c>
      <c r="J23" s="10">
        <f>Station_BOQ!R5</f>
        <v/>
      </c>
      <c r="K23" s="9">
        <f>I23*62000000*J23</f>
        <v/>
      </c>
      <c r="L23" s="18" t="n">
        <v>0.2</v>
      </c>
      <c r="M23" s="9">
        <f>ROUND(K23*L23,0)</f>
        <v/>
      </c>
      <c r="N23" s="9" t="n">
        <v>69616</v>
      </c>
      <c r="O23" s="9">
        <f>N23-M23</f>
        <v/>
      </c>
      <c r="P23" s="8" t="inlineStr">
        <is>
          <t>MS3 SAR approval of engineering 10% x station price share 5.61% | Design stage key 20.0% of the SAR-approval milestone</t>
        </is>
      </c>
      <c r="Q23" s="8" t="inlineStr">
        <is>
          <t>Annex 3 Design and engineering package (railway) allocated by station hardware share</t>
        </is>
      </c>
      <c r="R23" s="9" t="n">
        <v>63</v>
      </c>
      <c r="S23" s="19">
        <f>R23/1000</f>
        <v/>
      </c>
      <c r="T23" s="20" t="n">
        <v>46488</v>
      </c>
      <c r="U23" s="20" t="n">
        <v>46506</v>
      </c>
      <c r="V23" s="8" t="n">
        <v>15</v>
      </c>
    </row>
    <row r="24">
      <c r="A24" s="8" t="inlineStr">
        <is>
          <t>SH-DES</t>
        </is>
      </c>
      <c r="B24" s="8" t="inlineStr">
        <is>
          <t>Design and engineering package (per railway, allocated to the station)</t>
        </is>
      </c>
      <c r="C24" s="8" t="inlineStr">
        <is>
          <t>NRY-E1110</t>
        </is>
      </c>
      <c r="D24" s="8" t="inlineStr">
        <is>
          <t>HCIS Stage 3 and 4 documents: preparation - Riyadh (Thumamah)</t>
        </is>
      </c>
      <c r="E24" s="8" t="inlineStr">
        <is>
          <t>ENG.NRY.HCS.SUB</t>
        </is>
      </c>
      <c r="F24" s="8" t="inlineStr">
        <is>
          <t>Engineering</t>
        </is>
      </c>
      <c r="G24" s="8" t="inlineStr">
        <is>
          <t>NRY</t>
        </is>
      </c>
      <c r="H24" s="8" t="inlineStr">
        <is>
          <t>MS2</t>
        </is>
      </c>
      <c r="I24" s="16" t="n">
        <v>0.1</v>
      </c>
      <c r="J24" s="10">
        <f>Station_BOQ!R5</f>
        <v/>
      </c>
      <c r="K24" s="9">
        <f>I24*62000000*J24</f>
        <v/>
      </c>
      <c r="L24" s="18" t="n">
        <v>0.049</v>
      </c>
      <c r="M24" s="9">
        <f>ROUND(K24*L24,0)</f>
        <v/>
      </c>
      <c r="N24" s="9" t="n">
        <v>17056</v>
      </c>
      <c r="O24" s="9">
        <f>N24-M24</f>
        <v/>
      </c>
      <c r="P24" s="8" t="inlineStr">
        <is>
          <t>MS2 Engineering submittal 10% x station price share 5.61% | Design stage key 4.9% of the engineering-submittal milestone</t>
        </is>
      </c>
      <c r="Q24" s="8" t="inlineStr">
        <is>
          <t>Annex 3 Design and engineering package (railway) allocated by station hardware share</t>
        </is>
      </c>
      <c r="R24" s="9" t="n">
        <v>24</v>
      </c>
      <c r="S24" s="19">
        <f>R24/1000</f>
        <v/>
      </c>
      <c r="T24" s="20" t="n">
        <v>46443</v>
      </c>
      <c r="U24" s="20" t="n">
        <v>46485</v>
      </c>
      <c r="V24" s="8" t="n">
        <v>26</v>
      </c>
    </row>
    <row r="25">
      <c r="A25" s="8" t="inlineStr">
        <is>
          <t>SH-DES</t>
        </is>
      </c>
      <c r="B25" s="8" t="inlineStr">
        <is>
          <t>Design and engineering package (per railway, allocated to the station)</t>
        </is>
      </c>
      <c r="C25" s="8" t="inlineStr">
        <is>
          <t>NRY-E1120</t>
        </is>
      </c>
      <c r="D25" s="8" t="inlineStr">
        <is>
          <t>HCIS Stage 3 and 4 documents: SAR final review and HCIS submission - Riyadh (Thumamah)</t>
        </is>
      </c>
      <c r="E25" s="8" t="inlineStr">
        <is>
          <t>ENG.NRY.HCS.APR</t>
        </is>
      </c>
      <c r="F25" s="8" t="inlineStr">
        <is>
          <t>Engineering</t>
        </is>
      </c>
      <c r="G25" s="8" t="inlineStr">
        <is>
          <t>NRY</t>
        </is>
      </c>
      <c r="H25" s="8" t="inlineStr">
        <is>
          <t>MS3</t>
        </is>
      </c>
      <c r="I25" s="16" t="n">
        <v>0.1</v>
      </c>
      <c r="J25" s="10">
        <f>Station_BOQ!R5</f>
        <v/>
      </c>
      <c r="K25" s="9">
        <f>I25*62000000*J25</f>
        <v/>
      </c>
      <c r="L25" s="18" t="n">
        <v>0.05</v>
      </c>
      <c r="M25" s="9">
        <f>ROUND(K25*L25,0)</f>
        <v/>
      </c>
      <c r="N25" s="9" t="n">
        <v>17404</v>
      </c>
      <c r="O25" s="9">
        <f>N25-M25</f>
        <v/>
      </c>
      <c r="P25" s="8" t="inlineStr">
        <is>
          <t>MS3 SAR approval of engineering 10% x station price share 5.61% | Design stage key 5.0% of the SAR-approval milestone</t>
        </is>
      </c>
      <c r="Q25" s="8" t="inlineStr">
        <is>
          <t>Annex 3 Design and engineering package (railway) allocated by station hardware share</t>
        </is>
      </c>
      <c r="R25" s="9" t="n">
        <v>14</v>
      </c>
      <c r="S25" s="19">
        <f>R25/1000</f>
        <v/>
      </c>
      <c r="T25" s="20" t="n">
        <v>46488</v>
      </c>
      <c r="U25" s="20" t="n">
        <v>46506</v>
      </c>
      <c r="V25" s="8" t="n">
        <v>15</v>
      </c>
    </row>
    <row r="26">
      <c r="A26" s="8" t="inlineStr">
        <is>
          <t>SH-DES, SH-TRN</t>
        </is>
      </c>
      <c r="B26" s="8" t="inlineStr">
        <is>
          <t>Design and engineering package (per railway, allocated to the station) and Training (per railway, allocated): documentation and training share</t>
        </is>
      </c>
      <c r="C26" s="8" t="inlineStr">
        <is>
          <t>NRY-E1130</t>
        </is>
      </c>
      <c r="D26" s="8" t="inlineStr">
        <is>
          <t>As-built and O&amp;M documentation: submittal - Riyadh (Thumamah)</t>
        </is>
      </c>
      <c r="E26" s="8" t="inlineStr">
        <is>
          <t>ENG.NRY.ASB.SUB</t>
        </is>
      </c>
      <c r="F26" s="8" t="inlineStr">
        <is>
          <t>Engineering</t>
        </is>
      </c>
      <c r="G26" s="8" t="inlineStr">
        <is>
          <t>NRY</t>
        </is>
      </c>
      <c r="H26" s="8" t="inlineStr">
        <is>
          <t>MS7</t>
        </is>
      </c>
      <c r="I26" s="16" t="n">
        <v>0.1</v>
      </c>
      <c r="J26" s="10">
        <f>Station_BOQ!R5</f>
        <v/>
      </c>
      <c r="K26" s="9">
        <f>I26*62000000*J26</f>
        <v/>
      </c>
      <c r="L26" s="18" t="n">
        <v>0.15</v>
      </c>
      <c r="M26" s="9">
        <f>ROUND(K26*L26,0)</f>
        <v/>
      </c>
      <c r="N26" s="9" t="n">
        <v>52212</v>
      </c>
      <c r="O26" s="9">
        <f>N26-M26</f>
        <v/>
      </c>
      <c r="P26" s="8" t="inlineStr">
        <is>
          <t>MS7 Final acceptance and handover 10% x station price share 5.61% | Fixed key 15% of final-acceptance milestone</t>
        </is>
      </c>
      <c r="Q26" s="8" t="inlineStr">
        <is>
          <t>Annex 3 documentation and training share</t>
        </is>
      </c>
      <c r="R26" s="9" t="n">
        <v>41</v>
      </c>
      <c r="S26" s="19">
        <f>R26/1000</f>
        <v/>
      </c>
      <c r="T26" s="20" t="n">
        <v>46695</v>
      </c>
      <c r="U26" s="20" t="n">
        <v>46734</v>
      </c>
      <c r="V26" s="8" t="n">
        <v>28</v>
      </c>
    </row>
    <row r="27">
      <c r="A27" s="8" t="inlineStr">
        <is>
          <t>SH-DES</t>
        </is>
      </c>
      <c r="B27" s="8" t="inlineStr">
        <is>
          <t>Design and engineering package (per railway, allocated to the station): documentation share</t>
        </is>
      </c>
      <c r="C27" s="8" t="inlineStr">
        <is>
          <t>NRY-E1140</t>
        </is>
      </c>
      <c r="D27" s="8" t="inlineStr">
        <is>
          <t>As-built and O&amp;M documentation: SAR review and approval - Riyadh (Thumamah)</t>
        </is>
      </c>
      <c r="E27" s="8" t="inlineStr">
        <is>
          <t>ENG.NRY.ASB.APR</t>
        </is>
      </c>
      <c r="F27" s="8" t="inlineStr">
        <is>
          <t>Engineering</t>
        </is>
      </c>
      <c r="G27" s="8" t="inlineStr">
        <is>
          <t>NRY</t>
        </is>
      </c>
      <c r="H27" s="8" t="inlineStr">
        <is>
          <t>MS7</t>
        </is>
      </c>
      <c r="I27" s="16" t="n">
        <v>0.1</v>
      </c>
      <c r="J27" s="10">
        <f>Station_BOQ!R5</f>
        <v/>
      </c>
      <c r="K27" s="9">
        <f>I27*62000000*J27</f>
        <v/>
      </c>
      <c r="L27" s="18" t="n">
        <v>0.05</v>
      </c>
      <c r="M27" s="9">
        <f>ROUND(K27*L27,0)</f>
        <v/>
      </c>
      <c r="N27" s="9" t="n">
        <v>17404</v>
      </c>
      <c r="O27" s="9">
        <f>N27-M27</f>
        <v/>
      </c>
      <c r="P27" s="8" t="inlineStr">
        <is>
          <t>MS7 Final acceptance and handover 10% x station price share 5.61% | Fixed key 5%</t>
        </is>
      </c>
      <c r="Q27" s="8" t="inlineStr">
        <is>
          <t>Annex 3 documentation share</t>
        </is>
      </c>
      <c r="R27" s="9" t="n">
        <v>22</v>
      </c>
      <c r="S27" s="19">
        <f>R27/1000</f>
        <v/>
      </c>
      <c r="T27" s="20" t="n">
        <v>46735</v>
      </c>
      <c r="U27" s="20" t="n">
        <v>46755</v>
      </c>
      <c r="V27" s="8" t="n">
        <v>15</v>
      </c>
    </row>
    <row r="28">
      <c r="A28" s="8" t="inlineStr">
        <is>
          <t>-</t>
        </is>
      </c>
      <c r="B28" s="8" t="inlineStr">
        <is>
          <t>No BOQ cost: administrative or review step with no payment milestone</t>
        </is>
      </c>
      <c r="C28" s="8" t="inlineStr">
        <is>
          <t>NRY-X1010</t>
        </is>
      </c>
      <c r="D28" s="8" t="inlineStr">
        <is>
          <t>Enabling works: site preparation, setting out, temporary works and utilities clearance - Riyadh (Thumamah)</t>
        </is>
      </c>
      <c r="E28" s="8" t="inlineStr">
        <is>
          <t>CON.NRY.ENA</t>
        </is>
      </c>
      <c r="F28" s="8" t="inlineStr">
        <is>
          <t>Construction</t>
        </is>
      </c>
      <c r="G28" s="8" t="inlineStr">
        <is>
          <t>NRY</t>
        </is>
      </c>
      <c r="H28" s="8" t="inlineStr">
        <is>
          <t>MS5</t>
        </is>
      </c>
      <c r="I28" s="16" t="n">
        <v>0.2</v>
      </c>
      <c r="J28" s="10">
        <f>Station_BOQ!R5</f>
        <v/>
      </c>
      <c r="K28" s="9">
        <f>I28*62000000*J28</f>
        <v/>
      </c>
      <c r="L28" s="18" t="n">
        <v>0.01211217530700978</v>
      </c>
      <c r="M28" s="9">
        <f>ROUND(K28*L28,0)</f>
        <v/>
      </c>
      <c r="N28" s="9" t="n">
        <v>8432</v>
      </c>
      <c r="O28" s="9">
        <f>N28-M28</f>
        <v/>
      </c>
      <c r="P28" s="8" t="inlineStr">
        <is>
          <t>MS5 Installation 20% x station price share 5.61% | BOQ civil share 30.3% x 4% (enabling: site preparation)</t>
        </is>
      </c>
      <c r="Q28" s="8" t="inlineStr">
        <is>
          <t>Annex 3 A6 Civil works (SAR 745,743)</t>
        </is>
      </c>
      <c r="R28" s="9" t="n">
        <v>54</v>
      </c>
      <c r="S28" s="19">
        <f>R28/1000</f>
        <v/>
      </c>
      <c r="T28" s="20" t="n">
        <v>46509</v>
      </c>
      <c r="U28" s="20" t="n">
        <v>46520</v>
      </c>
      <c r="V28" s="8" t="n">
        <v>10</v>
      </c>
    </row>
    <row r="29">
      <c r="A29" s="8" t="inlineStr">
        <is>
          <t>-</t>
        </is>
      </c>
      <c r="B29" s="8" t="inlineStr">
        <is>
          <t>No BOQ cost: administrative or review step with no payment milestone</t>
        </is>
      </c>
      <c r="C29" s="8" t="inlineStr">
        <is>
          <t>NRY-X1020</t>
        </is>
      </c>
      <c r="D29" s="8" t="inlineStr">
        <is>
          <t>Enabling works: cable routes, duct-bank and cabinet plinth preparation - Riyadh (Thumamah)</t>
        </is>
      </c>
      <c r="E29" s="8" t="inlineStr">
        <is>
          <t>CON.NRY.ENA</t>
        </is>
      </c>
      <c r="F29" s="8" t="inlineStr">
        <is>
          <t>Construction</t>
        </is>
      </c>
      <c r="G29" s="8" t="inlineStr">
        <is>
          <t>NRY</t>
        </is>
      </c>
      <c r="H29" s="8" t="inlineStr">
        <is>
          <t>MS5</t>
        </is>
      </c>
      <c r="I29" s="16" t="n">
        <v>0.2</v>
      </c>
      <c r="J29" s="10">
        <f>Station_BOQ!R5</f>
        <v/>
      </c>
      <c r="K29" s="9">
        <f>I29*62000000*J29</f>
        <v/>
      </c>
      <c r="L29" s="18" t="n">
        <v>0.01816826296051467</v>
      </c>
      <c r="M29" s="9">
        <f>ROUND(K29*L29,0)</f>
        <v/>
      </c>
      <c r="N29" s="9" t="n">
        <v>12648</v>
      </c>
      <c r="O29" s="9">
        <f>N29-M29</f>
        <v/>
      </c>
      <c r="P29" s="8" t="inlineStr">
        <is>
          <t>MS5 Installation 20% x station price share 5.61% | BOQ civil share 30.3% x 6% (enabling: routes, ducts, plinths)</t>
        </is>
      </c>
      <c r="Q29" s="8" t="inlineStr">
        <is>
          <t>Annex 3 A6 Civil works (SAR 745,743)</t>
        </is>
      </c>
      <c r="R29" s="9" t="n">
        <v>81</v>
      </c>
      <c r="S29" s="19">
        <f>R29/1000</f>
        <v/>
      </c>
      <c r="T29" s="20" t="n">
        <v>46530</v>
      </c>
      <c r="U29" s="20" t="n">
        <v>46548</v>
      </c>
      <c r="V29" s="8" t="n">
        <v>15</v>
      </c>
    </row>
    <row r="30">
      <c r="A30" s="8" t="inlineStr">
        <is>
          <t>A1</t>
        </is>
      </c>
      <c r="B30" s="8" t="inlineStr">
        <is>
          <t>A1 CCTV system</t>
        </is>
      </c>
      <c r="C30" s="8" t="inlineStr">
        <is>
          <t>NRY-P1010</t>
        </is>
      </c>
      <c r="D30" s="8" t="inlineStr">
        <is>
          <t>Manufacture CCTV cameras and analytics - Riyadh (Thumamah)</t>
        </is>
      </c>
      <c r="E30" s="8" t="inlineStr">
        <is>
          <t>PRO.NRY.CCT</t>
        </is>
      </c>
      <c r="F30" s="8" t="inlineStr">
        <is>
          <t>Procurement</t>
        </is>
      </c>
      <c r="G30" s="8" t="inlineStr">
        <is>
          <t>NRY</t>
        </is>
      </c>
      <c r="H30" s="8" t="inlineStr">
        <is>
          <t>MS4</t>
        </is>
      </c>
      <c r="I30" s="16" t="n">
        <v>0.2</v>
      </c>
      <c r="J30" s="10">
        <f>Station_BOQ!R5</f>
        <v/>
      </c>
      <c r="K30" s="9">
        <f>I30*62000000*J30</f>
        <v/>
      </c>
      <c r="L30" s="18" t="n">
        <v>0.1480693575299424</v>
      </c>
      <c r="M30" s="9">
        <f>ROUND(K30*L30,0)</f>
        <v/>
      </c>
      <c r="N30" s="9" t="n">
        <v>103080</v>
      </c>
      <c r="O30" s="9">
        <f>N30-M30</f>
        <v/>
      </c>
      <c r="P30" s="8" t="inlineStr">
        <is>
          <t>MS4 Material delivery 20% x station price share 5.61% | BOQ section share 19.7% of station equipment x 75% (manufacture)</t>
        </is>
      </c>
      <c r="Q30" s="8" t="inlineStr">
        <is>
          <t>Annex 3 A1 CCTV system (SAR 338,989)</t>
        </is>
      </c>
      <c r="R30" s="9" t="n">
        <v>255</v>
      </c>
      <c r="S30" s="19">
        <f>R30/1000</f>
        <v/>
      </c>
      <c r="T30" s="20" t="n">
        <v>46509</v>
      </c>
      <c r="U30" s="20" t="n">
        <v>46580</v>
      </c>
      <c r="V30" s="8" t="n">
        <v>47</v>
      </c>
    </row>
    <row r="31">
      <c r="A31" s="8" t="inlineStr">
        <is>
          <t>A2</t>
        </is>
      </c>
      <c r="B31" s="8" t="inlineStr">
        <is>
          <t>A2 Video management and video wall</t>
        </is>
      </c>
      <c r="C31" s="8" t="inlineStr">
        <is>
          <t>NRY-P1020</t>
        </is>
      </c>
      <c r="D31" s="8" t="inlineStr">
        <is>
          <t>Manufacture video management servers, storage and video wall - Riyadh (Thumamah)</t>
        </is>
      </c>
      <c r="E31" s="8" t="inlineStr">
        <is>
          <t>PRO.NRY.VMS</t>
        </is>
      </c>
      <c r="F31" s="8" t="inlineStr">
        <is>
          <t>Procurement</t>
        </is>
      </c>
      <c r="G31" s="8" t="inlineStr">
        <is>
          <t>NRY</t>
        </is>
      </c>
      <c r="H31" s="8" t="inlineStr">
        <is>
          <t>MS4</t>
        </is>
      </c>
      <c r="I31" s="16" t="n">
        <v>0.2</v>
      </c>
      <c r="J31" s="10">
        <f>Station_BOQ!R5</f>
        <v/>
      </c>
      <c r="K31" s="9">
        <f>I31*62000000*J31</f>
        <v/>
      </c>
      <c r="L31" s="18" t="n">
        <v>0.1822059119009694</v>
      </c>
      <c r="M31" s="9">
        <f>ROUND(K31*L31,0)</f>
        <v/>
      </c>
      <c r="N31" s="9" t="n">
        <v>126844</v>
      </c>
      <c r="O31" s="9">
        <f>N31-M31</f>
        <v/>
      </c>
      <c r="P31" s="8" t="inlineStr">
        <is>
          <t>MS4 Material delivery 20% x station price share 5.61% | BOQ section share 24.3% of station equipment x 75% (manufacture)</t>
        </is>
      </c>
      <c r="Q31" s="8" t="inlineStr">
        <is>
          <t>Annex 3 A2 Video management and wall (SAR 417,141)</t>
        </is>
      </c>
      <c r="R31" s="9" t="n">
        <v>314</v>
      </c>
      <c r="S31" s="19">
        <f>R31/1000</f>
        <v/>
      </c>
      <c r="T31" s="20" t="n">
        <v>46509</v>
      </c>
      <c r="U31" s="20" t="n">
        <v>46580</v>
      </c>
      <c r="V31" s="8" t="n">
        <v>47</v>
      </c>
    </row>
    <row r="32">
      <c r="A32" s="8" t="inlineStr">
        <is>
          <t>A3</t>
        </is>
      </c>
      <c r="B32" s="8" t="inlineStr">
        <is>
          <t>A3 Access control and intercom</t>
        </is>
      </c>
      <c r="C32" s="8" t="inlineStr">
        <is>
          <t>NRY-P1030</t>
        </is>
      </c>
      <c r="D32" s="8" t="inlineStr">
        <is>
          <t>Manufacture access control and intercom equipment - Riyadh (Thumamah)</t>
        </is>
      </c>
      <c r="E32" s="8" t="inlineStr">
        <is>
          <t>PRO.NRY.ACC</t>
        </is>
      </c>
      <c r="F32" s="8" t="inlineStr">
        <is>
          <t>Procurement</t>
        </is>
      </c>
      <c r="G32" s="8" t="inlineStr">
        <is>
          <t>NRY</t>
        </is>
      </c>
      <c r="H32" s="8" t="inlineStr">
        <is>
          <t>MS4</t>
        </is>
      </c>
      <c r="I32" s="16" t="n">
        <v>0.2</v>
      </c>
      <c r="J32" s="10">
        <f>Station_BOQ!R5</f>
        <v/>
      </c>
      <c r="K32" s="9">
        <f>I32*62000000*J32</f>
        <v/>
      </c>
      <c r="L32" s="18" t="n">
        <v>0.01925619305259909</v>
      </c>
      <c r="M32" s="9">
        <f>ROUND(K32*L32,0)</f>
        <v/>
      </c>
      <c r="N32" s="9" t="n">
        <v>13405</v>
      </c>
      <c r="O32" s="9">
        <f>N32-M32</f>
        <v/>
      </c>
      <c r="P32" s="8" t="inlineStr">
        <is>
          <t>MS4 Material delivery 20% x station price share 5.61% | BOQ section share 2.6% of station equipment x 75% (manufacture)</t>
        </is>
      </c>
      <c r="Q32" s="8" t="inlineStr">
        <is>
          <t>Annex 3 A3 Access control and intercom (SAR 44,085)</t>
        </is>
      </c>
      <c r="R32" s="9" t="n">
        <v>33</v>
      </c>
      <c r="S32" s="19">
        <f>R32/1000</f>
        <v/>
      </c>
      <c r="T32" s="20" t="n">
        <v>46509</v>
      </c>
      <c r="U32" s="20" t="n">
        <v>46580</v>
      </c>
      <c r="V32" s="8" t="n">
        <v>47</v>
      </c>
    </row>
    <row r="33">
      <c r="A33" s="8" t="inlineStr">
        <is>
          <t>A4, A5</t>
        </is>
      </c>
      <c r="B33" s="8" t="inlineStr">
        <is>
          <t>A4 UPS and A5 Poles, cabinets and network</t>
        </is>
      </c>
      <c r="C33" s="8" t="inlineStr">
        <is>
          <t>NRY-P1040</t>
        </is>
      </c>
      <c r="D33" s="8" t="inlineStr">
        <is>
          <t>Manufacture UPS, network switches and field cabinets - Riyadh (Thumamah)</t>
        </is>
      </c>
      <c r="E33" s="8" t="inlineStr">
        <is>
          <t>PRO.NRY.UPN</t>
        </is>
      </c>
      <c r="F33" s="8" t="inlineStr">
        <is>
          <t>Procurement</t>
        </is>
      </c>
      <c r="G33" s="8" t="inlineStr">
        <is>
          <t>NRY</t>
        </is>
      </c>
      <c r="H33" s="8" t="inlineStr">
        <is>
          <t>MS4</t>
        </is>
      </c>
      <c r="I33" s="16" t="n">
        <v>0.2</v>
      </c>
      <c r="J33" s="10">
        <f>Station_BOQ!R5</f>
        <v/>
      </c>
      <c r="K33" s="9">
        <f>I33*62000000*J33</f>
        <v/>
      </c>
      <c r="L33" s="18" t="n">
        <v>0.4004685375164891</v>
      </c>
      <c r="M33" s="9">
        <f>ROUND(K33*L33,0)</f>
        <v/>
      </c>
      <c r="N33" s="9" t="n">
        <v>278789</v>
      </c>
      <c r="O33" s="9">
        <f>N33-M33</f>
        <v/>
      </c>
      <c r="P33" s="8" t="inlineStr">
        <is>
          <t>MS4 Material delivery 20% x station price share 5.61% | BOQ section share 53.4% of station equipment x 75% (manufacture)</t>
        </is>
      </c>
      <c r="Q33" s="8" t="inlineStr">
        <is>
          <t>Annex 3 A4 UPS + A5 poles, cabinets and network (SAR 916,830)</t>
        </is>
      </c>
      <c r="R33" s="9" t="n">
        <v>691</v>
      </c>
      <c r="S33" s="19">
        <f>R33/1000</f>
        <v/>
      </c>
      <c r="T33" s="20" t="n">
        <v>46509</v>
      </c>
      <c r="U33" s="20" t="n">
        <v>46580</v>
      </c>
      <c r="V33" s="8" t="n">
        <v>47</v>
      </c>
    </row>
    <row r="34">
      <c r="A34" s="8" t="inlineStr">
        <is>
          <t>SH-FAT</t>
        </is>
      </c>
      <c r="B34" s="8" t="inlineStr">
        <is>
          <t>Factory acceptance test (per railway, allocated)</t>
        </is>
      </c>
      <c r="C34" s="8" t="inlineStr">
        <is>
          <t>NRY-P1050</t>
        </is>
      </c>
      <c r="D34" s="8" t="inlineStr">
        <is>
          <t>Factory acceptance test at vendor premises - Riyadh (Thumamah)</t>
        </is>
      </c>
      <c r="E34" s="8" t="inlineStr">
        <is>
          <t>PRO.NRY.LOG</t>
        </is>
      </c>
      <c r="F34" s="8" t="inlineStr">
        <is>
          <t>Procurement</t>
        </is>
      </c>
      <c r="G34" s="8" t="inlineStr">
        <is>
          <t>NRY</t>
        </is>
      </c>
      <c r="H34" s="8" t="inlineStr">
        <is>
          <t>MS4</t>
        </is>
      </c>
      <c r="I34" s="16" t="n">
        <v>0.2</v>
      </c>
      <c r="J34" s="10">
        <f>Station_BOQ!R5</f>
        <v/>
      </c>
      <c r="K34" s="9">
        <f>I34*62000000*J34</f>
        <v/>
      </c>
      <c r="L34" s="18" t="n">
        <v>0.05</v>
      </c>
      <c r="M34" s="9">
        <f>ROUND(K34*L34,0)</f>
        <v/>
      </c>
      <c r="N34" s="9" t="n">
        <v>34808</v>
      </c>
      <c r="O34" s="9">
        <f>N34-M34</f>
        <v/>
      </c>
      <c r="P34" s="8" t="inlineStr">
        <is>
          <t>MS4 Material delivery 20% x station price share 5.61% | Fixed key 5% (FAT)</t>
        </is>
      </c>
      <c r="Q34" s="8" t="inlineStr">
        <is>
          <t>Annex 3 Factory acceptance test (railway), allocated by hardware share</t>
        </is>
      </c>
      <c r="R34" s="9" t="n">
        <v>216</v>
      </c>
      <c r="S34" s="19">
        <f>R34/1000</f>
        <v/>
      </c>
      <c r="T34" s="20" t="n">
        <v>46581</v>
      </c>
      <c r="U34" s="20" t="n">
        <v>46594</v>
      </c>
      <c r="V34" s="8" t="n">
        <v>10</v>
      </c>
    </row>
    <row r="35">
      <c r="A35" s="8" t="inlineStr">
        <is>
          <t>A1-A5</t>
        </is>
      </c>
      <c r="B35" s="8" t="inlineStr">
        <is>
          <t>A1 to A5 equipment sections: logistics (shipping, customs, delivery) share</t>
        </is>
      </c>
      <c r="C35" s="8" t="inlineStr">
        <is>
          <t>NRY-P1060</t>
        </is>
      </c>
      <c r="D35" s="8" t="inlineStr">
        <is>
          <t>Shipping and customs clearance - Riyadh (Thumamah)</t>
        </is>
      </c>
      <c r="E35" s="8" t="inlineStr">
        <is>
          <t>PRO.NRY.LOG</t>
        </is>
      </c>
      <c r="F35" s="8" t="inlineStr">
        <is>
          <t>Procurement</t>
        </is>
      </c>
      <c r="G35" s="8" t="inlineStr">
        <is>
          <t>NRY</t>
        </is>
      </c>
      <c r="H35" s="8" t="inlineStr">
        <is>
          <t>MS4</t>
        </is>
      </c>
      <c r="I35" s="16" t="n">
        <v>0.2</v>
      </c>
      <c r="J35" s="10">
        <f>Station_BOQ!R5</f>
        <v/>
      </c>
      <c r="K35" s="9">
        <f>I35*62000000*J35</f>
        <v/>
      </c>
      <c r="L35" s="18" t="n">
        <v>0.15</v>
      </c>
      <c r="M35" s="9">
        <f>ROUND(K35*L35,0)</f>
        <v/>
      </c>
      <c r="N35" s="9" t="n">
        <v>104424</v>
      </c>
      <c r="O35" s="9">
        <f>N35-M35</f>
        <v/>
      </c>
      <c r="P35" s="8" t="inlineStr">
        <is>
          <t>MS4 Material delivery 20% x station price share 5.61% | Fixed key 15% (shipping and customs)</t>
        </is>
      </c>
      <c r="Q35" s="8" t="inlineStr">
        <is>
          <t>Annex 3 equipment sections A1-A5 (logistics share)</t>
        </is>
      </c>
      <c r="R35" s="9" t="n">
        <v>431</v>
      </c>
      <c r="S35" s="19">
        <f>R35/1000</f>
        <v/>
      </c>
      <c r="T35" s="20" t="n">
        <v>46595</v>
      </c>
      <c r="U35" s="20" t="n">
        <v>46624</v>
      </c>
      <c r="V35" s="8" t="n">
        <v>22</v>
      </c>
    </row>
    <row r="36">
      <c r="A36" s="8" t="inlineStr">
        <is>
          <t>SH-SPR</t>
        </is>
      </c>
      <c r="B36" s="8" t="inlineStr">
        <is>
          <t>Commissioning spares (per railway, allocated)</t>
        </is>
      </c>
      <c r="C36" s="8" t="inlineStr">
        <is>
          <t>NRY-P1070</t>
        </is>
      </c>
      <c r="D36" s="8" t="inlineStr">
        <is>
          <t>Delivery to station and receiving inspection - Riyadh (Thumamah)</t>
        </is>
      </c>
      <c r="E36" s="8" t="inlineStr">
        <is>
          <t>PRO.NRY.LOG</t>
        </is>
      </c>
      <c r="F36" s="8" t="inlineStr">
        <is>
          <t>Procurement</t>
        </is>
      </c>
      <c r="G36" s="8" t="inlineStr">
        <is>
          <t>NRY</t>
        </is>
      </c>
      <c r="H36" s="8" t="inlineStr">
        <is>
          <t>MS4</t>
        </is>
      </c>
      <c r="I36" s="16" t="n">
        <v>0.2</v>
      </c>
      <c r="J36" s="10">
        <f>Station_BOQ!R5</f>
        <v/>
      </c>
      <c r="K36" s="9">
        <f>I36*62000000*J36</f>
        <v/>
      </c>
      <c r="L36" s="18" t="n">
        <v>0.05</v>
      </c>
      <c r="M36" s="9">
        <f>ROUND(K36*L36,0)</f>
        <v/>
      </c>
      <c r="N36" s="9" t="n">
        <v>34808</v>
      </c>
      <c r="O36" s="9">
        <f>N36-M36</f>
        <v/>
      </c>
      <c r="P36" s="8" t="inlineStr">
        <is>
          <t>MS4 Material delivery 20% x station price share 5.61% | Fixed key 5% (delivery, receiving) incl. commissioning spares</t>
        </is>
      </c>
      <c r="Q36" s="8" t="inlineStr">
        <is>
          <t>Annex 3 Commissioning spares (railway), allocated by hardware share</t>
        </is>
      </c>
      <c r="R36" s="9" t="n">
        <v>216</v>
      </c>
      <c r="S36" s="19">
        <f>R36/1000</f>
        <v/>
      </c>
      <c r="T36" s="20" t="n">
        <v>46625</v>
      </c>
      <c r="U36" s="20" t="n">
        <v>46631</v>
      </c>
      <c r="V36" s="8" t="n">
        <v>5</v>
      </c>
    </row>
    <row r="37">
      <c r="A37" s="8" t="inlineStr">
        <is>
          <t>A6</t>
        </is>
      </c>
      <c r="B37" s="8" t="inlineStr">
        <is>
          <t>A6 Civil works</t>
        </is>
      </c>
      <c r="C37" s="8" t="inlineStr">
        <is>
          <t>NRY-C1010</t>
        </is>
      </c>
      <c r="D37" s="8" t="inlineStr">
        <is>
          <t>Civil: platform trenches and duct banks - Riyadh (Thumamah)</t>
        </is>
      </c>
      <c r="E37" s="8" t="inlineStr">
        <is>
          <t>CON.NRY.CIV</t>
        </is>
      </c>
      <c r="F37" s="8" t="inlineStr">
        <is>
          <t>Construction</t>
        </is>
      </c>
      <c r="G37" s="8" t="inlineStr">
        <is>
          <t>NRY</t>
        </is>
      </c>
      <c r="H37" s="8" t="inlineStr">
        <is>
          <t>MS5</t>
        </is>
      </c>
      <c r="I37" s="16" t="n">
        <v>0.2</v>
      </c>
      <c r="J37" s="10">
        <f>Station_BOQ!R5</f>
        <v/>
      </c>
      <c r="K37" s="9">
        <f>I37*62000000*J37</f>
        <v/>
      </c>
      <c r="L37" s="18" t="n">
        <v>0.1514021913376222</v>
      </c>
      <c r="M37" s="9">
        <f>ROUND(K37*L37,0)</f>
        <v/>
      </c>
      <c r="N37" s="9" t="n">
        <v>105400</v>
      </c>
      <c r="O37" s="9">
        <f>N37-M37</f>
        <v/>
      </c>
      <c r="P37" s="8" t="inlineStr">
        <is>
          <t>MS5 Installation 20% x station price share 5.61% | BOQ civil share 30.3% x 50% (trenches and duct banks)</t>
        </is>
      </c>
      <c r="Q37" s="8" t="inlineStr">
        <is>
          <t>Annex 3 A6 Civil works (SAR 745,743)</t>
        </is>
      </c>
      <c r="R37" s="9" t="n">
        <v>350</v>
      </c>
      <c r="S37" s="19">
        <f>R37/1000</f>
        <v/>
      </c>
      <c r="T37" s="20" t="n">
        <v>46551</v>
      </c>
      <c r="U37" s="20" t="n">
        <v>46629</v>
      </c>
      <c r="V37" s="8" t="n">
        <v>57</v>
      </c>
    </row>
    <row r="38">
      <c r="A38" s="8" t="inlineStr">
        <is>
          <t>A6</t>
        </is>
      </c>
      <c r="B38" s="8" t="inlineStr">
        <is>
          <t>A6 Civil works</t>
        </is>
      </c>
      <c r="C38" s="8" t="inlineStr">
        <is>
          <t>NRY-C1020</t>
        </is>
      </c>
      <c r="D38" s="8" t="inlineStr">
        <is>
          <t>Civil: camera and ALPR pole foundations and poles - Riyadh (Thumamah)</t>
        </is>
      </c>
      <c r="E38" s="8" t="inlineStr">
        <is>
          <t>CON.NRY.CIV</t>
        </is>
      </c>
      <c r="F38" s="8" t="inlineStr">
        <is>
          <t>Construction</t>
        </is>
      </c>
      <c r="G38" s="8" t="inlineStr">
        <is>
          <t>NRY</t>
        </is>
      </c>
      <c r="H38" s="8" t="inlineStr">
        <is>
          <t>MS5</t>
        </is>
      </c>
      <c r="I38" s="16" t="n">
        <v>0.2</v>
      </c>
      <c r="J38" s="10">
        <f>Station_BOQ!R5</f>
        <v/>
      </c>
      <c r="K38" s="9">
        <f>I38*62000000*J38</f>
        <v/>
      </c>
      <c r="L38" s="18" t="n">
        <v>0.1211217530700978</v>
      </c>
      <c r="M38" s="9">
        <f>ROUND(K38*L38,0)</f>
        <v/>
      </c>
      <c r="N38" s="9" t="n">
        <v>84320</v>
      </c>
      <c r="O38" s="9">
        <f>N38-M38</f>
        <v/>
      </c>
      <c r="P38" s="8" t="inlineStr">
        <is>
          <t>MS5 Installation 20% x station price share 5.61% | BOQ civil share 30.3% x 40% (poles)</t>
        </is>
      </c>
      <c r="Q38" s="8" t="inlineStr">
        <is>
          <t>Annex 3 A6 Civil works (SAR 745,743)</t>
        </is>
      </c>
      <c r="R38" s="9" t="n">
        <v>269</v>
      </c>
      <c r="S38" s="19">
        <f>R38/1000</f>
        <v/>
      </c>
      <c r="T38" s="20" t="n">
        <v>46602</v>
      </c>
      <c r="U38" s="20" t="n">
        <v>46665</v>
      </c>
      <c r="V38" s="8" t="n">
        <v>45</v>
      </c>
    </row>
    <row r="39">
      <c r="A39" s="8" t="inlineStr">
        <is>
          <t>A1-A5</t>
        </is>
      </c>
      <c r="B39" s="8" t="inlineStr">
        <is>
          <t>A1 to A5 equipment sections: installation share (works included in unit prices)</t>
        </is>
      </c>
      <c r="C39" s="8" t="inlineStr">
        <is>
          <t>NRY-C2010</t>
        </is>
      </c>
      <c r="D39" s="8" t="inlineStr">
        <is>
          <t>Install UPS, network switches and field cabinets - Riyadh (Thumamah)</t>
        </is>
      </c>
      <c r="E39" s="8" t="inlineStr">
        <is>
          <t>CON.NRY.INS</t>
        </is>
      </c>
      <c r="F39" s="8" t="inlineStr">
        <is>
          <t>Construction</t>
        </is>
      </c>
      <c r="G39" s="8" t="inlineStr">
        <is>
          <t>NRY</t>
        </is>
      </c>
      <c r="H39" s="8" t="inlineStr">
        <is>
          <t>MS5</t>
        </is>
      </c>
      <c r="I39" s="16" t="n">
        <v>0.2</v>
      </c>
      <c r="J39" s="10">
        <f>Station_BOQ!R5</f>
        <v/>
      </c>
      <c r="K39" s="9">
        <f>I39*62000000*J39</f>
        <v/>
      </c>
      <c r="L39" s="18" t="n">
        <v>0.1394391234649511</v>
      </c>
      <c r="M39" s="9">
        <f>ROUND(K39*L39,0)</f>
        <v/>
      </c>
      <c r="N39" s="9" t="n">
        <v>97072</v>
      </c>
      <c r="O39" s="9">
        <f>N39-M39</f>
        <v/>
      </c>
      <c r="P39" s="8" t="inlineStr">
        <is>
          <t>MS5 Installation 20% x station price share 5.61% | Installation key 20% x (1 - civil share 30.3%)</t>
        </is>
      </c>
      <c r="Q39" s="8" t="inlineStr">
        <is>
          <t>Annex 3 equipment sections A1-A5 (installation share)</t>
        </is>
      </c>
      <c r="R39" s="9" t="n">
        <v>162</v>
      </c>
      <c r="S39" s="19">
        <f>R39/1000</f>
        <v/>
      </c>
      <c r="T39" s="20" t="n">
        <v>46632</v>
      </c>
      <c r="U39" s="20" t="n">
        <v>46650</v>
      </c>
      <c r="V39" s="8" t="n">
        <v>13</v>
      </c>
    </row>
    <row r="40">
      <c r="A40" s="8" t="inlineStr">
        <is>
          <t>A1-A5</t>
        </is>
      </c>
      <c r="B40" s="8" t="inlineStr">
        <is>
          <t>A1 to A5 equipment sections: installation share (works included in unit prices)</t>
        </is>
      </c>
      <c r="C40" s="8" t="inlineStr">
        <is>
          <t>NRY-C2020</t>
        </is>
      </c>
      <c r="D40" s="8" t="inlineStr">
        <is>
          <t>Cabling and termination (power, fibre, data) - Riyadh (Thumamah)</t>
        </is>
      </c>
      <c r="E40" s="8" t="inlineStr">
        <is>
          <t>CON.NRY.INS</t>
        </is>
      </c>
      <c r="F40" s="8" t="inlineStr">
        <is>
          <t>Construction</t>
        </is>
      </c>
      <c r="G40" s="8" t="inlineStr">
        <is>
          <t>NRY</t>
        </is>
      </c>
      <c r="H40" s="8" t="inlineStr">
        <is>
          <t>MS5</t>
        </is>
      </c>
      <c r="I40" s="16" t="n">
        <v>0.2</v>
      </c>
      <c r="J40" s="10">
        <f>Station_BOQ!R5</f>
        <v/>
      </c>
      <c r="K40" s="9">
        <f>I40*62000000*J40</f>
        <v/>
      </c>
      <c r="L40" s="18" t="n">
        <v>0.2091586851974267</v>
      </c>
      <c r="M40" s="9">
        <f>ROUND(K40*L40,0)</f>
        <v/>
      </c>
      <c r="N40" s="9" t="n">
        <v>145607</v>
      </c>
      <c r="O40" s="9">
        <f>N40-M40</f>
        <v/>
      </c>
      <c r="P40" s="8" t="inlineStr">
        <is>
          <t>MS5 Installation 20% x station price share 5.61% | Installation key 30% x (1 - civil share 30.3%)</t>
        </is>
      </c>
      <c r="Q40" s="8" t="inlineStr">
        <is>
          <t>Annex 3 equipment sections A1-A5 (installation share)</t>
        </is>
      </c>
      <c r="R40" s="9" t="n">
        <v>323</v>
      </c>
      <c r="S40" s="19">
        <f>R40/1000</f>
        <v/>
      </c>
      <c r="T40" s="20" t="n">
        <v>46638</v>
      </c>
      <c r="U40" s="20" t="n">
        <v>46670</v>
      </c>
      <c r="V40" s="8" t="n">
        <v>22</v>
      </c>
    </row>
    <row r="41">
      <c r="A41" s="8" t="inlineStr">
        <is>
          <t>A1-A5</t>
        </is>
      </c>
      <c r="B41" s="8" t="inlineStr">
        <is>
          <t>A1 to A5 equipment sections: installation share (works included in unit prices)</t>
        </is>
      </c>
      <c r="C41" s="8" t="inlineStr">
        <is>
          <t>NRY-C2030</t>
        </is>
      </c>
      <c r="D41" s="8" t="inlineStr">
        <is>
          <t>Install and aim CCTV cameras - Riyadh (Thumamah)</t>
        </is>
      </c>
      <c r="E41" s="8" t="inlineStr">
        <is>
          <t>CON.NRY.INS</t>
        </is>
      </c>
      <c r="F41" s="8" t="inlineStr">
        <is>
          <t>Construction</t>
        </is>
      </c>
      <c r="G41" s="8" t="inlineStr">
        <is>
          <t>NRY</t>
        </is>
      </c>
      <c r="H41" s="8" t="inlineStr">
        <is>
          <t>MS5</t>
        </is>
      </c>
      <c r="I41" s="16" t="n">
        <v>0.2</v>
      </c>
      <c r="J41" s="10">
        <f>Station_BOQ!R5</f>
        <v/>
      </c>
      <c r="K41" s="9">
        <f>I41*62000000*J41</f>
        <v/>
      </c>
      <c r="L41" s="18" t="n">
        <v>0.1742989043311889</v>
      </c>
      <c r="M41" s="9">
        <f>ROUND(K41*L41,0)</f>
        <v/>
      </c>
      <c r="N41" s="9" t="n">
        <v>121339</v>
      </c>
      <c r="O41" s="9">
        <f>N41-M41</f>
        <v/>
      </c>
      <c r="P41" s="8" t="inlineStr">
        <is>
          <t>MS5 Installation 20% x station price share 5.61% | Installation key 25% x (1 - civil share 30.3%)</t>
        </is>
      </c>
      <c r="Q41" s="8" t="inlineStr">
        <is>
          <t>Annex 3 equipment sections A1-A5 (installation share)</t>
        </is>
      </c>
      <c r="R41" s="9" t="n">
        <v>269</v>
      </c>
      <c r="S41" s="19">
        <f>R41/1000</f>
        <v/>
      </c>
      <c r="T41" s="20" t="n">
        <v>46671</v>
      </c>
      <c r="U41" s="20" t="n">
        <v>46694</v>
      </c>
      <c r="V41" s="8" t="n">
        <v>18</v>
      </c>
    </row>
    <row r="42">
      <c r="A42" s="8" t="inlineStr">
        <is>
          <t>A1-A5</t>
        </is>
      </c>
      <c r="B42" s="8" t="inlineStr">
        <is>
          <t>A1 to A5 equipment sections: installation share (works included in unit prices)</t>
        </is>
      </c>
      <c r="C42" s="8" t="inlineStr">
        <is>
          <t>NRY-C2040</t>
        </is>
      </c>
      <c r="D42" s="8" t="inlineStr">
        <is>
          <t>Install video management, video wall and control-room equipment - Riyadh (Thumamah)</t>
        </is>
      </c>
      <c r="E42" s="8" t="inlineStr">
        <is>
          <t>CON.NRY.INS</t>
        </is>
      </c>
      <c r="F42" s="8" t="inlineStr">
        <is>
          <t>Construction</t>
        </is>
      </c>
      <c r="G42" s="8" t="inlineStr">
        <is>
          <t>NRY</t>
        </is>
      </c>
      <c r="H42" s="8" t="inlineStr">
        <is>
          <t>MS5</t>
        </is>
      </c>
      <c r="I42" s="16" t="n">
        <v>0.2</v>
      </c>
      <c r="J42" s="10">
        <f>Station_BOQ!R5</f>
        <v/>
      </c>
      <c r="K42" s="9">
        <f>I42*62000000*J42</f>
        <v/>
      </c>
      <c r="L42" s="18" t="n">
        <v>0.1045793425987133</v>
      </c>
      <c r="M42" s="9">
        <f>ROUND(K42*L42,0)</f>
        <v/>
      </c>
      <c r="N42" s="9" t="n">
        <v>72804</v>
      </c>
      <c r="O42" s="9">
        <f>N42-M42</f>
        <v/>
      </c>
      <c r="P42" s="8" t="inlineStr">
        <is>
          <t>MS5 Installation 20% x station price share 5.61% | Installation key 15% x (1 - civil share 30.3%)</t>
        </is>
      </c>
      <c r="Q42" s="8" t="inlineStr">
        <is>
          <t>Annex 3 equipment sections A1-A5 (installation share)</t>
        </is>
      </c>
      <c r="R42" s="9" t="n">
        <v>162</v>
      </c>
      <c r="S42" s="19">
        <f>R42/1000</f>
        <v/>
      </c>
      <c r="T42" s="20" t="n">
        <v>46651</v>
      </c>
      <c r="U42" s="20" t="n">
        <v>46672</v>
      </c>
      <c r="V42" s="8" t="n">
        <v>15</v>
      </c>
    </row>
    <row r="43">
      <c r="A43" s="8" t="inlineStr">
        <is>
          <t>A1-A5</t>
        </is>
      </c>
      <c r="B43" s="8" t="inlineStr">
        <is>
          <t>A1 to A5 equipment sections: installation share (works included in unit prices)</t>
        </is>
      </c>
      <c r="C43" s="8" t="inlineStr">
        <is>
          <t>NRY-C2050</t>
        </is>
      </c>
      <c r="D43" s="8" t="inlineStr">
        <is>
          <t>Install access control and intercom - Riyadh (Thumamah)</t>
        </is>
      </c>
      <c r="E43" s="8" t="inlineStr">
        <is>
          <t>CON.NRY.INS</t>
        </is>
      </c>
      <c r="F43" s="8" t="inlineStr">
        <is>
          <t>Construction</t>
        </is>
      </c>
      <c r="G43" s="8" t="inlineStr">
        <is>
          <t>NRY</t>
        </is>
      </c>
      <c r="H43" s="8" t="inlineStr">
        <is>
          <t>MS5</t>
        </is>
      </c>
      <c r="I43" s="16" t="n">
        <v>0.2</v>
      </c>
      <c r="J43" s="10">
        <f>Station_BOQ!R5</f>
        <v/>
      </c>
      <c r="K43" s="9">
        <f>I43*62000000*J43</f>
        <v/>
      </c>
      <c r="L43" s="18" t="n">
        <v>0.06971956173247555</v>
      </c>
      <c r="M43" s="9">
        <f>ROUND(K43*L43,0)</f>
        <v/>
      </c>
      <c r="N43" s="9" t="n">
        <v>48536</v>
      </c>
      <c r="O43" s="9">
        <f>N43-M43</f>
        <v/>
      </c>
      <c r="P43" s="8" t="inlineStr">
        <is>
          <t>MS5 Installation 20% x station price share 5.61% | Installation key 10% x (1 - civil share 30.3%)</t>
        </is>
      </c>
      <c r="Q43" s="8" t="inlineStr">
        <is>
          <t>Annex 3 equipment sections A1-A5 (installation share)</t>
        </is>
      </c>
      <c r="R43" s="9" t="n">
        <v>108</v>
      </c>
      <c r="S43" s="19">
        <f>R43/1000</f>
        <v/>
      </c>
      <c r="T43" s="20" t="n">
        <v>46658</v>
      </c>
      <c r="U43" s="20" t="n">
        <v>46674</v>
      </c>
      <c r="V43" s="8" t="n">
        <v>13</v>
      </c>
    </row>
    <row r="44">
      <c r="A44" s="8" t="inlineStr">
        <is>
          <t>A1-A5</t>
        </is>
      </c>
      <c r="B44" s="8" t="inlineStr">
        <is>
          <t>A1 to A5 equipment sections: testing and commissioning share</t>
        </is>
      </c>
      <c r="C44" s="8" t="inlineStr">
        <is>
          <t>NRY-T1010</t>
        </is>
      </c>
      <c r="D44" s="8" t="inlineStr">
        <is>
          <t>Pre-commissioning and loop checks - Riyadh (Thumamah)</t>
        </is>
      </c>
      <c r="E44" s="8" t="inlineStr">
        <is>
          <t>COM.NRY.TST</t>
        </is>
      </c>
      <c r="F44" s="8" t="inlineStr">
        <is>
          <t>Commissioning and handover</t>
        </is>
      </c>
      <c r="G44" s="8" t="inlineStr">
        <is>
          <t>NRY</t>
        </is>
      </c>
      <c r="H44" s="8" t="inlineStr">
        <is>
          <t>MS6</t>
        </is>
      </c>
      <c r="I44" s="16" t="n">
        <v>0.1</v>
      </c>
      <c r="J44" s="10">
        <f>Station_BOQ!R5</f>
        <v/>
      </c>
      <c r="K44" s="9">
        <f>I44*62000000*J44</f>
        <v/>
      </c>
      <c r="L44" s="18" t="n">
        <v>0.388</v>
      </c>
      <c r="M44" s="9">
        <f>ROUND(K44*L44,0)</f>
        <v/>
      </c>
      <c r="N44" s="9" t="n">
        <v>135054</v>
      </c>
      <c r="O44" s="9">
        <f>N44-M44</f>
        <v/>
      </c>
      <c r="P44" s="8" t="inlineStr">
        <is>
          <t>MS6 Testing and commissioning (SAT) 10% x station price share 5.61% | Fixed key 40% of SAT milestone</t>
        </is>
      </c>
      <c r="Q44" s="8" t="inlineStr">
        <is>
          <t>Annex 3 equipment sections A1-A5 (testing share)</t>
        </is>
      </c>
      <c r="R44" s="9" t="n">
        <v>162</v>
      </c>
      <c r="S44" s="19">
        <f>R44/1000</f>
        <v/>
      </c>
      <c r="T44" s="20" t="n">
        <v>46695</v>
      </c>
      <c r="U44" s="20" t="n">
        <v>46701</v>
      </c>
      <c r="V44" s="8" t="n">
        <v>5</v>
      </c>
    </row>
    <row r="45">
      <c r="A45" s="8" t="inlineStr">
        <is>
          <t>A1-A5</t>
        </is>
      </c>
      <c r="B45" s="8" t="inlineStr">
        <is>
          <t>A1 to A5 equipment sections: testing and commissioning share</t>
        </is>
      </c>
      <c r="C45" s="8" t="inlineStr">
        <is>
          <t>NRY-T1020</t>
        </is>
      </c>
      <c r="D45" s="8" t="inlineStr">
        <is>
          <t>Site acceptance test (SAT) and commissioning - Riyadh (Thumamah)</t>
        </is>
      </c>
      <c r="E45" s="8" t="inlineStr">
        <is>
          <t>COM.NRY.TST</t>
        </is>
      </c>
      <c r="F45" s="8" t="inlineStr">
        <is>
          <t>Commissioning and handover</t>
        </is>
      </c>
      <c r="G45" s="8" t="inlineStr">
        <is>
          <t>NRY</t>
        </is>
      </c>
      <c r="H45" s="8" t="inlineStr">
        <is>
          <t>MS6</t>
        </is>
      </c>
      <c r="I45" s="16" t="n">
        <v>0.1</v>
      </c>
      <c r="J45" s="10">
        <f>Station_BOQ!R5</f>
        <v/>
      </c>
      <c r="K45" s="9">
        <f>I45*62000000*J45</f>
        <v/>
      </c>
      <c r="L45" s="18" t="n">
        <v>0.582</v>
      </c>
      <c r="M45" s="9">
        <f>ROUND(K45*L45,0)</f>
        <v/>
      </c>
      <c r="N45" s="9" t="n">
        <v>202582</v>
      </c>
      <c r="O45" s="9">
        <f>N45-M45</f>
        <v/>
      </c>
      <c r="P45" s="8" t="inlineStr">
        <is>
          <t>MS6 Testing and commissioning (SAT) 10% x station price share 5.61% | Fixed key 60% of SAT milestone</t>
        </is>
      </c>
      <c r="Q45" s="8" t="inlineStr">
        <is>
          <t>Annex 3 equipment sections A1-A5 (testing share)</t>
        </is>
      </c>
      <c r="R45" s="9" t="n">
        <v>189</v>
      </c>
      <c r="S45" s="19">
        <f>R45/1000</f>
        <v/>
      </c>
      <c r="T45" s="20" t="n">
        <v>46702</v>
      </c>
      <c r="U45" s="20" t="n">
        <v>46713</v>
      </c>
      <c r="V45" s="8" t="n">
        <v>8</v>
      </c>
    </row>
    <row r="46">
      <c r="A46" s="8" t="inlineStr">
        <is>
          <t>SH-TRN</t>
        </is>
      </c>
      <c r="B46" s="8" t="inlineStr">
        <is>
          <t>Training (per railway, allocated)</t>
        </is>
      </c>
      <c r="C46" s="8" t="inlineStr">
        <is>
          <t>NRY-T2010</t>
        </is>
      </c>
      <c r="D46" s="8" t="inlineStr">
        <is>
          <t>Operator and maintenance training - Riyadh (Thumamah)</t>
        </is>
      </c>
      <c r="E46" s="8" t="inlineStr">
        <is>
          <t>COM.NRY.TRN</t>
        </is>
      </c>
      <c r="F46" s="8" t="inlineStr">
        <is>
          <t>Commissioning and handover</t>
        </is>
      </c>
      <c r="G46" s="8" t="inlineStr">
        <is>
          <t>NRY</t>
        </is>
      </c>
      <c r="H46" s="8" t="inlineStr">
        <is>
          <t>MS7</t>
        </is>
      </c>
      <c r="I46" s="16" t="n">
        <v>0.1</v>
      </c>
      <c r="J46" s="10">
        <f>Station_BOQ!R5</f>
        <v/>
      </c>
      <c r="K46" s="9">
        <f>I46*62000000*J46</f>
        <v/>
      </c>
      <c r="L46" s="18" t="n">
        <v>0.15</v>
      </c>
      <c r="M46" s="9">
        <f>ROUND(K46*L46,0)</f>
        <v/>
      </c>
      <c r="N46" s="9" t="n">
        <v>52212</v>
      </c>
      <c r="O46" s="9">
        <f>N46-M46</f>
        <v/>
      </c>
      <c r="P46" s="8" t="inlineStr">
        <is>
          <t>MS7 Final acceptance and handover 10% x station price share 5.61% | Fixed key 15%</t>
        </is>
      </c>
      <c r="Q46" s="8" t="inlineStr">
        <is>
          <t>Annex 3 Training (railway), allocated by hardware share</t>
        </is>
      </c>
      <c r="R46" s="9" t="n">
        <v>108</v>
      </c>
      <c r="S46" s="19">
        <f>R46/1000</f>
        <v/>
      </c>
      <c r="T46" s="20" t="n">
        <v>46714</v>
      </c>
      <c r="U46" s="20" t="n">
        <v>46727</v>
      </c>
      <c r="V46" s="8" t="n">
        <v>10</v>
      </c>
    </row>
    <row r="47">
      <c r="A47" s="8" t="inlineStr">
        <is>
          <t>A1-A5</t>
        </is>
      </c>
      <c r="B47" s="8" t="inlineStr">
        <is>
          <t>A1 to A5 equipment sections: trial operation share</t>
        </is>
      </c>
      <c r="C47" s="8" t="inlineStr">
        <is>
          <t>NRY-T2020</t>
        </is>
      </c>
      <c r="D47" s="8" t="inlineStr">
        <is>
          <t>Trial operation (maximum 45 days) - Riyadh (Thumamah)</t>
        </is>
      </c>
      <c r="E47" s="8" t="inlineStr">
        <is>
          <t>COM.NRY.TOA</t>
        </is>
      </c>
      <c r="F47" s="8" t="inlineStr">
        <is>
          <t>Commissioning and handover</t>
        </is>
      </c>
      <c r="G47" s="8" t="inlineStr">
        <is>
          <t>NRY</t>
        </is>
      </c>
      <c r="H47" s="8" t="inlineStr">
        <is>
          <t>MS7</t>
        </is>
      </c>
      <c r="I47" s="16" t="n">
        <v>0.1</v>
      </c>
      <c r="J47" s="10">
        <f>Station_BOQ!R5</f>
        <v/>
      </c>
      <c r="K47" s="9">
        <f>I47*62000000*J47</f>
        <v/>
      </c>
      <c r="L47" s="18" t="n">
        <v>0.35</v>
      </c>
      <c r="M47" s="9">
        <f>ROUND(K47*L47,0)</f>
        <v/>
      </c>
      <c r="N47" s="9" t="n">
        <v>121828</v>
      </c>
      <c r="O47" s="9">
        <f>N47-M47</f>
        <v/>
      </c>
      <c r="P47" s="8" t="inlineStr">
        <is>
          <t>MS7 Final acceptance and handover 10% x station price share 5.61% | Fixed key 35%</t>
        </is>
      </c>
      <c r="Q47" s="8" t="inlineStr">
        <is>
          <t>Annex 3 equipment sections A1-A5 (trial operation share)</t>
        </is>
      </c>
      <c r="R47" s="9" t="n">
        <v>162</v>
      </c>
      <c r="S47" s="19">
        <f>R47/1000</f>
        <v/>
      </c>
      <c r="T47" s="20" t="n">
        <v>46714</v>
      </c>
      <c r="U47" s="20" t="n">
        <v>46755</v>
      </c>
      <c r="V47" s="8" t="n">
        <v>30</v>
      </c>
    </row>
    <row r="48">
      <c r="A48" s="8" t="inlineStr">
        <is>
          <t>A1-A5</t>
        </is>
      </c>
      <c r="B48" s="8" t="inlineStr">
        <is>
          <t>A1 to A5 equipment sections: handover share</t>
        </is>
      </c>
      <c r="C48" s="8" t="inlineStr">
        <is>
          <t>NRY-T3010</t>
        </is>
      </c>
      <c r="D48" s="8" t="inlineStr">
        <is>
          <t>Taking-over application, SAR review and handover - Riyadh (Thumamah)</t>
        </is>
      </c>
      <c r="E48" s="8" t="inlineStr">
        <is>
          <t>COM.NRY.TOA</t>
        </is>
      </c>
      <c r="F48" s="8" t="inlineStr">
        <is>
          <t>Commissioning and handover</t>
        </is>
      </c>
      <c r="G48" s="8" t="inlineStr">
        <is>
          <t>NRY</t>
        </is>
      </c>
      <c r="H48" s="8" t="inlineStr">
        <is>
          <t>MS7</t>
        </is>
      </c>
      <c r="I48" s="16" t="n">
        <v>0.1</v>
      </c>
      <c r="J48" s="10">
        <f>Station_BOQ!R5</f>
        <v/>
      </c>
      <c r="K48" s="9">
        <f>I48*62000000*J48</f>
        <v/>
      </c>
      <c r="L48" s="18" t="n">
        <v>0.3</v>
      </c>
      <c r="M48" s="9">
        <f>ROUND(K48*L48,0)</f>
        <v/>
      </c>
      <c r="N48" s="9" t="n">
        <v>104424</v>
      </c>
      <c r="O48" s="9">
        <f>N48-M48</f>
        <v/>
      </c>
      <c r="P48" s="8" t="inlineStr">
        <is>
          <t>MS7 Final acceptance and handover 10% x station price share 5.61% | Fixed key 30%</t>
        </is>
      </c>
      <c r="Q48" s="8" t="inlineStr">
        <is>
          <t>Annex 3 equipment sections A1-A5 (handover share)</t>
        </is>
      </c>
      <c r="R48" s="9" t="n">
        <v>162</v>
      </c>
      <c r="S48" s="19">
        <f>R48/1000</f>
        <v/>
      </c>
      <c r="T48" s="20" t="n">
        <v>46756</v>
      </c>
      <c r="U48" s="20" t="n">
        <v>46785</v>
      </c>
      <c r="V48" s="8" t="n">
        <v>22</v>
      </c>
    </row>
    <row r="49">
      <c r="A49" s="8" t="inlineStr">
        <is>
          <t>A1-A5</t>
        </is>
      </c>
      <c r="B49" s="8" t="inlineStr">
        <is>
          <t>A1 to A5 equipment sections: mock-up approval share (carved from the testing share)</t>
        </is>
      </c>
      <c r="C49" s="8" t="inlineStr">
        <is>
          <t>NRY-T1030</t>
        </is>
      </c>
      <c r="D49" s="8" t="inlineStr">
        <is>
          <t>Mock-up approval: site visit and SAR approval of the executed works (roll-out to other stations) - Riyadh (Thumamah)</t>
        </is>
      </c>
      <c r="E49" s="8" t="inlineStr">
        <is>
          <t>COM.NRY.MOK</t>
        </is>
      </c>
      <c r="F49" s="8" t="inlineStr">
        <is>
          <t>Commissioning and handover</t>
        </is>
      </c>
      <c r="G49" s="8" t="inlineStr">
        <is>
          <t>NRY</t>
        </is>
      </c>
      <c r="H49" s="8" t="inlineStr">
        <is>
          <t>MS6</t>
        </is>
      </c>
      <c r="I49" s="16" t="n">
        <v>0.1</v>
      </c>
      <c r="J49" s="10">
        <f>Station_BOQ!R5</f>
        <v/>
      </c>
      <c r="K49" s="9">
        <f>I49*62000000*J49</f>
        <v/>
      </c>
      <c r="L49" s="18" t="n">
        <v>0.03</v>
      </c>
      <c r="M49" s="9">
        <f>ROUND(K49*L49,0)</f>
        <v/>
      </c>
      <c r="N49" s="9" t="n">
        <v>10442</v>
      </c>
      <c r="O49" s="9">
        <f>N49-M49</f>
        <v/>
      </c>
      <c r="P49" s="8" t="inlineStr">
        <is>
          <t>MS6 Testing and commissioning (SAT) 10% x station price share 5.61% | Mock-up approval key 3% of the SAT milestone (no separate Annex 3 item; carved from the testing share)</t>
        </is>
      </c>
      <c r="Q49" s="8" t="inlineStr">
        <is>
          <t>Annex 3 equipment sections A1-A5 (testing share)</t>
        </is>
      </c>
      <c r="R49" s="9" t="n">
        <v>27</v>
      </c>
      <c r="S49" s="19">
        <f>R49/1000</f>
        <v/>
      </c>
      <c r="T49" s="20" t="n">
        <v>46695</v>
      </c>
      <c r="U49" s="20" t="n">
        <v>46726</v>
      </c>
      <c r="V49" s="8" t="n">
        <v>22</v>
      </c>
    </row>
    <row r="50">
      <c r="A50" s="8" t="inlineStr">
        <is>
          <t>SH-DES</t>
        </is>
      </c>
      <c r="B50" s="8" t="inlineStr">
        <is>
          <t>Design and engineering package (per railway, allocated to the station)</t>
        </is>
      </c>
      <c r="C50" s="8" t="inlineStr">
        <is>
          <t>HMK-E1010</t>
        </is>
      </c>
      <c r="D50" s="8" t="inlineStr">
        <is>
          <t>Survey: submittal of site survey and as-found report - Makkah</t>
        </is>
      </c>
      <c r="E50" s="8" t="inlineStr">
        <is>
          <t>ENG.HMK.SRV.SUB</t>
        </is>
      </c>
      <c r="F50" s="8" t="inlineStr">
        <is>
          <t>Engineering</t>
        </is>
      </c>
      <c r="G50" s="8" t="inlineStr">
        <is>
          <t>HMK</t>
        </is>
      </c>
      <c r="H50" s="8" t="inlineStr">
        <is>
          <t>MS2</t>
        </is>
      </c>
      <c r="I50" s="16" t="n">
        <v>0.1</v>
      </c>
      <c r="J50" s="10">
        <f>Station_BOQ!R6</f>
        <v/>
      </c>
      <c r="K50" s="9">
        <f>I50*62000000*J50</f>
        <v/>
      </c>
      <c r="L50" s="18" t="n">
        <v>0.06900000000000001</v>
      </c>
      <c r="M50" s="9">
        <f>ROUND(K50*L50,0)</f>
        <v/>
      </c>
      <c r="N50" s="9" t="n">
        <v>67000</v>
      </c>
      <c r="O50" s="9">
        <f>N50-M50</f>
        <v/>
      </c>
      <c r="P50" s="8" t="inlineStr">
        <is>
          <t>MS2 Engineering submittal 10% x station price share 15.66% | Design stage key 6.9% of the engineering-submittal milestone</t>
        </is>
      </c>
      <c r="Q50" s="8" t="inlineStr">
        <is>
          <t>Annex 3 Design and engineering package (railway) allocated by station hardware share</t>
        </is>
      </c>
      <c r="R50" s="9" t="n">
        <v>124</v>
      </c>
      <c r="S50" s="19">
        <f>R50/1000</f>
        <v/>
      </c>
      <c r="T50" s="20" t="n">
        <v>46390</v>
      </c>
      <c r="U50" s="20" t="n">
        <v>46422</v>
      </c>
      <c r="V50" s="8" t="n">
        <v>25</v>
      </c>
    </row>
    <row r="51">
      <c r="A51" s="8" t="inlineStr">
        <is>
          <t>SH-DES</t>
        </is>
      </c>
      <c r="B51" s="8" t="inlineStr">
        <is>
          <t>Design and engineering package (per railway, allocated to the station)</t>
        </is>
      </c>
      <c r="C51" s="8" t="inlineStr">
        <is>
          <t>HMK-E1020</t>
        </is>
      </c>
      <c r="D51" s="8" t="inlineStr">
        <is>
          <t>Survey: SAR approval of survey report - Makkah</t>
        </is>
      </c>
      <c r="E51" s="8" t="inlineStr">
        <is>
          <t>ENG.HMK.SRV.APR</t>
        </is>
      </c>
      <c r="F51" s="8" t="inlineStr">
        <is>
          <t>Engineering</t>
        </is>
      </c>
      <c r="G51" s="8" t="inlineStr">
        <is>
          <t>HMK</t>
        </is>
      </c>
      <c r="H51" s="8" t="inlineStr">
        <is>
          <t>MS3</t>
        </is>
      </c>
      <c r="I51" s="16" t="n">
        <v>0.1</v>
      </c>
      <c r="J51" s="10">
        <f>Station_BOQ!R6</f>
        <v/>
      </c>
      <c r="K51" s="9">
        <f>I51*62000000*J51</f>
        <v/>
      </c>
      <c r="L51" s="18" t="n">
        <v>0.05</v>
      </c>
      <c r="M51" s="9">
        <f>ROUND(K51*L51,0)</f>
        <v/>
      </c>
      <c r="N51" s="9" t="n">
        <v>48550</v>
      </c>
      <c r="O51" s="9">
        <f>N51-M51</f>
        <v/>
      </c>
      <c r="P51" s="8" t="inlineStr">
        <is>
          <t>MS3 SAR approval of engineering 10% x station price share 15.66% | Design stage key 5.0% of the SAR-approval milestone</t>
        </is>
      </c>
      <c r="Q51" s="8" t="inlineStr">
        <is>
          <t>Annex 3 Design and engineering package (railway) allocated by station hardware share</t>
        </is>
      </c>
      <c r="R51" s="9" t="n">
        <v>53</v>
      </c>
      <c r="S51" s="19">
        <f>R51/1000</f>
        <v/>
      </c>
      <c r="T51" s="20" t="n">
        <v>46425</v>
      </c>
      <c r="U51" s="20" t="n">
        <v>46446</v>
      </c>
      <c r="V51" s="8" t="n">
        <v>15</v>
      </c>
    </row>
    <row r="52">
      <c r="A52" s="8" t="inlineStr">
        <is>
          <t>SH-DES</t>
        </is>
      </c>
      <c r="B52" s="8" t="inlineStr">
        <is>
          <t>Design and engineering package (per railway, allocated to the station)</t>
        </is>
      </c>
      <c r="C52" s="8" t="inlineStr">
        <is>
          <t>HMK-E1030</t>
        </is>
      </c>
      <c r="D52" s="8" t="inlineStr">
        <is>
          <t>Concept design: submittal - Makkah</t>
        </is>
      </c>
      <c r="E52" s="8" t="inlineStr">
        <is>
          <t>ENG.HMK.CNC.SUB</t>
        </is>
      </c>
      <c r="F52" s="8" t="inlineStr">
        <is>
          <t>Engineering</t>
        </is>
      </c>
      <c r="G52" s="8" t="inlineStr">
        <is>
          <t>HMK</t>
        </is>
      </c>
      <c r="H52" s="8" t="inlineStr">
        <is>
          <t>MS2</t>
        </is>
      </c>
      <c r="I52" s="16" t="n">
        <v>0.1</v>
      </c>
      <c r="J52" s="10">
        <f>Station_BOQ!R6</f>
        <v/>
      </c>
      <c r="K52" s="9">
        <f>I52*62000000*J52</f>
        <v/>
      </c>
      <c r="L52" s="18" t="n">
        <v>0.098</v>
      </c>
      <c r="M52" s="9">
        <f>ROUND(K52*L52,0)</f>
        <v/>
      </c>
      <c r="N52" s="9" t="n">
        <v>95159</v>
      </c>
      <c r="O52" s="9">
        <f>N52-M52</f>
        <v/>
      </c>
      <c r="P52" s="8" t="inlineStr">
        <is>
          <t>MS2 Engineering submittal 10% x station price share 15.66% | Design stage key 9.8% of the engineering-submittal milestone</t>
        </is>
      </c>
      <c r="Q52" s="8" t="inlineStr">
        <is>
          <t>Annex 3 Design and engineering package (railway) allocated by station hardware share</t>
        </is>
      </c>
      <c r="R52" s="9" t="n">
        <v>51</v>
      </c>
      <c r="S52" s="19">
        <f>R52/1000</f>
        <v/>
      </c>
      <c r="T52" s="20" t="n">
        <v>46425</v>
      </c>
      <c r="U52" s="20" t="n">
        <v>46432</v>
      </c>
      <c r="V52" s="8" t="n">
        <v>6</v>
      </c>
    </row>
    <row r="53">
      <c r="A53" s="8" t="inlineStr">
        <is>
          <t>SH-DES</t>
        </is>
      </c>
      <c r="B53" s="8" t="inlineStr">
        <is>
          <t>Design and engineering package (per railway, allocated to the station)</t>
        </is>
      </c>
      <c r="C53" s="8" t="inlineStr">
        <is>
          <t>HMK-E1040</t>
        </is>
      </c>
      <c r="D53" s="8" t="inlineStr">
        <is>
          <t>Concept design: SAR review and approval - Makkah</t>
        </is>
      </c>
      <c r="E53" s="8" t="inlineStr">
        <is>
          <t>ENG.HMK.CNC.APR</t>
        </is>
      </c>
      <c r="F53" s="8" t="inlineStr">
        <is>
          <t>Engineering</t>
        </is>
      </c>
      <c r="G53" s="8" t="inlineStr">
        <is>
          <t>HMK</t>
        </is>
      </c>
      <c r="H53" s="8" t="inlineStr">
        <is>
          <t>MS3</t>
        </is>
      </c>
      <c r="I53" s="16" t="n">
        <v>0.1</v>
      </c>
      <c r="J53" s="10">
        <f>Station_BOQ!R6</f>
        <v/>
      </c>
      <c r="K53" s="9">
        <f>I53*62000000*J53</f>
        <v/>
      </c>
      <c r="L53" s="18" t="n">
        <v>0.1</v>
      </c>
      <c r="M53" s="9">
        <f>ROUND(K53*L53,0)</f>
        <v/>
      </c>
      <c r="N53" s="9" t="n">
        <v>97101</v>
      </c>
      <c r="O53" s="9">
        <f>N53-M53</f>
        <v/>
      </c>
      <c r="P53" s="8" t="inlineStr">
        <is>
          <t>MS3 SAR approval of engineering 10% x station price share 15.66% | Design stage key 10.0% of the SAR-approval milestone</t>
        </is>
      </c>
      <c r="Q53" s="8" t="inlineStr">
        <is>
          <t>Annex 3 Design and engineering package (railway) allocated by station hardware share</t>
        </is>
      </c>
      <c r="R53" s="9" t="n">
        <v>126</v>
      </c>
      <c r="S53" s="19">
        <f>R53/1000</f>
        <v/>
      </c>
      <c r="T53" s="20" t="n">
        <v>46433</v>
      </c>
      <c r="U53" s="20" t="n">
        <v>46461</v>
      </c>
      <c r="V53" s="8" t="n">
        <v>15</v>
      </c>
    </row>
    <row r="54">
      <c r="A54" s="8" t="inlineStr">
        <is>
          <t>SH-DES</t>
        </is>
      </c>
      <c r="B54" s="8" t="inlineStr">
        <is>
          <t>Design and engineering package (per railway, allocated to the station)</t>
        </is>
      </c>
      <c r="C54" s="8" t="inlineStr">
        <is>
          <t>HMK-E1050</t>
        </is>
      </c>
      <c r="D54" s="8" t="inlineStr">
        <is>
          <t>Preliminary design: submittal - Makkah</t>
        </is>
      </c>
      <c r="E54" s="8" t="inlineStr">
        <is>
          <t>ENG.HMK.PRE.SUB</t>
        </is>
      </c>
      <c r="F54" s="8" t="inlineStr">
        <is>
          <t>Engineering</t>
        </is>
      </c>
      <c r="G54" s="8" t="inlineStr">
        <is>
          <t>HMK</t>
        </is>
      </c>
      <c r="H54" s="8" t="inlineStr">
        <is>
          <t>MS2</t>
        </is>
      </c>
      <c r="I54" s="16" t="n">
        <v>0.1</v>
      </c>
      <c r="J54" s="10">
        <f>Station_BOQ!R6</f>
        <v/>
      </c>
      <c r="K54" s="9">
        <f>I54*62000000*J54</f>
        <v/>
      </c>
      <c r="L54" s="18" t="n">
        <v>0.196</v>
      </c>
      <c r="M54" s="9">
        <f>ROUND(K54*L54,0)</f>
        <v/>
      </c>
      <c r="N54" s="9" t="n">
        <v>190318</v>
      </c>
      <c r="O54" s="9">
        <f>N54-M54</f>
        <v/>
      </c>
      <c r="P54" s="8" t="inlineStr">
        <is>
          <t>MS2 Engineering submittal 10% x station price share 15.66% | Design stage key 19.6% of the engineering-submittal milestone</t>
        </is>
      </c>
      <c r="Q54" s="8" t="inlineStr">
        <is>
          <t>Annex 3 Design and engineering package (railway) allocated by station hardware share</t>
        </is>
      </c>
      <c r="R54" s="9" t="n">
        <v>127</v>
      </c>
      <c r="S54" s="19">
        <f>R54/1000</f>
        <v/>
      </c>
      <c r="T54" s="20" t="n">
        <v>46433</v>
      </c>
      <c r="U54" s="20" t="n">
        <v>46447</v>
      </c>
      <c r="V54" s="8" t="n">
        <v>10</v>
      </c>
    </row>
    <row r="55">
      <c r="A55" s="8" t="inlineStr">
        <is>
          <t>SH-DES</t>
        </is>
      </c>
      <c r="B55" s="8" t="inlineStr">
        <is>
          <t>Design and engineering package (per railway, allocated to the station)</t>
        </is>
      </c>
      <c r="C55" s="8" t="inlineStr">
        <is>
          <t>HMK-E1060</t>
        </is>
      </c>
      <c r="D55" s="8" t="inlineStr">
        <is>
          <t>Preliminary design: SAR review and approval - Makkah</t>
        </is>
      </c>
      <c r="E55" s="8" t="inlineStr">
        <is>
          <t>ENG.HMK.PRE.APR</t>
        </is>
      </c>
      <c r="F55" s="8" t="inlineStr">
        <is>
          <t>Engineering</t>
        </is>
      </c>
      <c r="G55" s="8" t="inlineStr">
        <is>
          <t>HMK</t>
        </is>
      </c>
      <c r="H55" s="8" t="inlineStr">
        <is>
          <t>MS3</t>
        </is>
      </c>
      <c r="I55" s="16" t="n">
        <v>0.1</v>
      </c>
      <c r="J55" s="10">
        <f>Station_BOQ!R6</f>
        <v/>
      </c>
      <c r="K55" s="9">
        <f>I55*62000000*J55</f>
        <v/>
      </c>
      <c r="L55" s="18" t="n">
        <v>0.2</v>
      </c>
      <c r="M55" s="9">
        <f>ROUND(K55*L55,0)</f>
        <v/>
      </c>
      <c r="N55" s="9" t="n">
        <v>194202</v>
      </c>
      <c r="O55" s="9">
        <f>N55-M55</f>
        <v/>
      </c>
      <c r="P55" s="8" t="inlineStr">
        <is>
          <t>MS3 SAR approval of engineering 10% x station price share 15.66% | Design stage key 20.0% of the SAR-approval milestone</t>
        </is>
      </c>
      <c r="Q55" s="8" t="inlineStr">
        <is>
          <t>Annex 3 Design and engineering package (railway) allocated by station hardware share</t>
        </is>
      </c>
      <c r="R55" s="9" t="n">
        <v>191</v>
      </c>
      <c r="S55" s="19">
        <f>R55/1000</f>
        <v/>
      </c>
      <c r="T55" s="20" t="n">
        <v>46448</v>
      </c>
      <c r="U55" s="20" t="n">
        <v>46475</v>
      </c>
      <c r="V55" s="8" t="n">
        <v>15</v>
      </c>
    </row>
    <row r="56">
      <c r="A56" s="8" t="inlineStr">
        <is>
          <t>SH-DES</t>
        </is>
      </c>
      <c r="B56" s="8" t="inlineStr">
        <is>
          <t>Design and engineering package (per railway, allocated to the station)</t>
        </is>
      </c>
      <c r="C56" s="8" t="inlineStr">
        <is>
          <t>HMK-E1070</t>
        </is>
      </c>
      <c r="D56" s="8" t="inlineStr">
        <is>
          <t>Detailed design: submittal (drawings, BOQ, data sheets) - Makkah</t>
        </is>
      </c>
      <c r="E56" s="8" t="inlineStr">
        <is>
          <t>ENG.HMK.DET.SUB</t>
        </is>
      </c>
      <c r="F56" s="8" t="inlineStr">
        <is>
          <t>Engineering</t>
        </is>
      </c>
      <c r="G56" s="8" t="inlineStr">
        <is>
          <t>HMK</t>
        </is>
      </c>
      <c r="H56" s="8" t="inlineStr">
        <is>
          <t>MS2</t>
        </is>
      </c>
      <c r="I56" s="16" t="n">
        <v>0.1</v>
      </c>
      <c r="J56" s="10">
        <f>Station_BOQ!R6</f>
        <v/>
      </c>
      <c r="K56" s="9">
        <f>I56*62000000*J56</f>
        <v/>
      </c>
      <c r="L56" s="18" t="n">
        <v>0.392</v>
      </c>
      <c r="M56" s="9">
        <f>ROUND(K56*L56,0)</f>
        <v/>
      </c>
      <c r="N56" s="9" t="n">
        <v>380636</v>
      </c>
      <c r="O56" s="9">
        <f>N56-M56</f>
        <v/>
      </c>
      <c r="P56" s="8" t="inlineStr">
        <is>
          <t>MS2 Engineering submittal 10% x station price share 15.66% | Design stage key 39.2% of the engineering-submittal milestone</t>
        </is>
      </c>
      <c r="Q56" s="8" t="inlineStr">
        <is>
          <t>Annex 3 Design and engineering package (railway) allocated by station hardware share</t>
        </is>
      </c>
      <c r="R56" s="9" t="n">
        <v>274</v>
      </c>
      <c r="S56" s="19">
        <f>R56/1000</f>
        <v/>
      </c>
      <c r="T56" s="20" t="n">
        <v>46448</v>
      </c>
      <c r="U56" s="20" t="n">
        <v>46476</v>
      </c>
      <c r="V56" s="8" t="n">
        <v>16</v>
      </c>
    </row>
    <row r="57">
      <c r="A57" s="8" t="inlineStr">
        <is>
          <t>SH-DES</t>
        </is>
      </c>
      <c r="B57" s="8" t="inlineStr">
        <is>
          <t>Design and engineering package (per railway, allocated to the station)</t>
        </is>
      </c>
      <c r="C57" s="8" t="inlineStr">
        <is>
          <t>HMK-E1080</t>
        </is>
      </c>
      <c r="D57" s="8" t="inlineStr">
        <is>
          <t>Detailed design: SAR review and approval - Makkah</t>
        </is>
      </c>
      <c r="E57" s="8" t="inlineStr">
        <is>
          <t>ENG.HMK.DET.APR</t>
        </is>
      </c>
      <c r="F57" s="8" t="inlineStr">
        <is>
          <t>Engineering</t>
        </is>
      </c>
      <c r="G57" s="8" t="inlineStr">
        <is>
          <t>HMK</t>
        </is>
      </c>
      <c r="H57" s="8" t="inlineStr">
        <is>
          <t>MS3</t>
        </is>
      </c>
      <c r="I57" s="16" t="n">
        <v>0.1</v>
      </c>
      <c r="J57" s="10">
        <f>Station_BOQ!R6</f>
        <v/>
      </c>
      <c r="K57" s="9">
        <f>I57*62000000*J57</f>
        <v/>
      </c>
      <c r="L57" s="18" t="n">
        <v>0.4</v>
      </c>
      <c r="M57" s="9">
        <f>ROUND(K57*L57,0)</f>
        <v/>
      </c>
      <c r="N57" s="9" t="n">
        <v>388404</v>
      </c>
      <c r="O57" s="9">
        <f>N57-M57</f>
        <v/>
      </c>
      <c r="P57" s="8" t="inlineStr">
        <is>
          <t>MS3 SAR approval of engineering 10% x station price share 15.66% | Design stage key 40.0% of the SAR-approval milestone</t>
        </is>
      </c>
      <c r="Q57" s="8" t="inlineStr">
        <is>
          <t>Annex 3 Design and engineering package (railway) allocated by station hardware share</t>
        </is>
      </c>
      <c r="R57" s="9" t="n">
        <v>257</v>
      </c>
      <c r="S57" s="19">
        <f>R57/1000</f>
        <v/>
      </c>
      <c r="T57" s="20" t="n">
        <v>46477</v>
      </c>
      <c r="U57" s="20" t="n">
        <v>46497</v>
      </c>
      <c r="V57" s="8" t="n">
        <v>15</v>
      </c>
    </row>
    <row r="58">
      <c r="A58" s="8" t="inlineStr">
        <is>
          <t>SH-DES</t>
        </is>
      </c>
      <c r="B58" s="8" t="inlineStr">
        <is>
          <t>Design and engineering package (per railway, allocated to the station)</t>
        </is>
      </c>
      <c r="C58" s="8" t="inlineStr">
        <is>
          <t>HMK-E1090</t>
        </is>
      </c>
      <c r="D58" s="8" t="inlineStr">
        <is>
          <t>IFC and shop drawings: submittal - Makkah</t>
        </is>
      </c>
      <c r="E58" s="8" t="inlineStr">
        <is>
          <t>ENG.HMK.IFC.SUB</t>
        </is>
      </c>
      <c r="F58" s="8" t="inlineStr">
        <is>
          <t>Engineering</t>
        </is>
      </c>
      <c r="G58" s="8" t="inlineStr">
        <is>
          <t>HMK</t>
        </is>
      </c>
      <c r="H58" s="8" t="inlineStr">
        <is>
          <t>MS2</t>
        </is>
      </c>
      <c r="I58" s="16" t="n">
        <v>0.1</v>
      </c>
      <c r="J58" s="10">
        <f>Station_BOQ!R6</f>
        <v/>
      </c>
      <c r="K58" s="9">
        <f>I58*62000000*J58</f>
        <v/>
      </c>
      <c r="L58" s="18" t="n">
        <v>0.196</v>
      </c>
      <c r="M58" s="9">
        <f>ROUND(K58*L58,0)</f>
        <v/>
      </c>
      <c r="N58" s="9" t="n">
        <v>190318</v>
      </c>
      <c r="O58" s="9">
        <f>N58-M58</f>
        <v/>
      </c>
      <c r="P58" s="8" t="inlineStr">
        <is>
          <t>MS2 Engineering submittal 10% x station price share 15.66% | Design stage key 19.6% of the engineering-submittal milestone</t>
        </is>
      </c>
      <c r="Q58" s="8" t="inlineStr">
        <is>
          <t>Annex 3 Design and engineering package (railway) allocated by station hardware share</t>
        </is>
      </c>
      <c r="R58" s="9" t="n">
        <v>101</v>
      </c>
      <c r="S58" s="19">
        <f>R58/1000</f>
        <v/>
      </c>
      <c r="T58" s="20" t="n">
        <v>46477</v>
      </c>
      <c r="U58" s="20" t="n">
        <v>46485</v>
      </c>
      <c r="V58" s="8" t="n">
        <v>7</v>
      </c>
    </row>
    <row r="59">
      <c r="A59" s="8" t="inlineStr">
        <is>
          <t>SH-DES</t>
        </is>
      </c>
      <c r="B59" s="8" t="inlineStr">
        <is>
          <t>Design and engineering package (per railway, allocated to the station)</t>
        </is>
      </c>
      <c r="C59" s="8" t="inlineStr">
        <is>
          <t>HMK-E1100</t>
        </is>
      </c>
      <c r="D59" s="8" t="inlineStr">
        <is>
          <t>IFC and shop drawings: SAR approval and release - Makkah</t>
        </is>
      </c>
      <c r="E59" s="8" t="inlineStr">
        <is>
          <t>ENG.HMK.IFC.APR</t>
        </is>
      </c>
      <c r="F59" s="8" t="inlineStr">
        <is>
          <t>Engineering</t>
        </is>
      </c>
      <c r="G59" s="8" t="inlineStr">
        <is>
          <t>HMK</t>
        </is>
      </c>
      <c r="H59" s="8" t="inlineStr">
        <is>
          <t>MS3</t>
        </is>
      </c>
      <c r="I59" s="16" t="n">
        <v>0.1</v>
      </c>
      <c r="J59" s="10">
        <f>Station_BOQ!R6</f>
        <v/>
      </c>
      <c r="K59" s="9">
        <f>I59*62000000*J59</f>
        <v/>
      </c>
      <c r="L59" s="18" t="n">
        <v>0.2</v>
      </c>
      <c r="M59" s="9">
        <f>ROUND(K59*L59,0)</f>
        <v/>
      </c>
      <c r="N59" s="9" t="n">
        <v>194202</v>
      </c>
      <c r="O59" s="9">
        <f>N59-M59</f>
        <v/>
      </c>
      <c r="P59" s="8" t="inlineStr">
        <is>
          <t>MS3 SAR approval of engineering 10% x station price share 15.66% | Design stage key 20.0% of the SAR-approval milestone</t>
        </is>
      </c>
      <c r="Q59" s="8" t="inlineStr">
        <is>
          <t>Annex 3 Design and engineering package (railway) allocated by station hardware share</t>
        </is>
      </c>
      <c r="R59" s="9" t="n">
        <v>217</v>
      </c>
      <c r="S59" s="19">
        <f>R59/1000</f>
        <v/>
      </c>
      <c r="T59" s="20" t="n">
        <v>46488</v>
      </c>
      <c r="U59" s="20" t="n">
        <v>46506</v>
      </c>
      <c r="V59" s="8" t="n">
        <v>15</v>
      </c>
    </row>
    <row r="60">
      <c r="A60" s="8" t="inlineStr">
        <is>
          <t>SH-DES</t>
        </is>
      </c>
      <c r="B60" s="8" t="inlineStr">
        <is>
          <t>Design and engineering package (per railway, allocated to the station)</t>
        </is>
      </c>
      <c r="C60" s="8" t="inlineStr">
        <is>
          <t>HMK-E1110</t>
        </is>
      </c>
      <c r="D60" s="8" t="inlineStr">
        <is>
          <t>HCIS Stage 3 and 4 documents: preparation - Makkah</t>
        </is>
      </c>
      <c r="E60" s="8" t="inlineStr">
        <is>
          <t>ENG.HMK.HCS.SUB</t>
        </is>
      </c>
      <c r="F60" s="8" t="inlineStr">
        <is>
          <t>Engineering</t>
        </is>
      </c>
      <c r="G60" s="8" t="inlineStr">
        <is>
          <t>HMK</t>
        </is>
      </c>
      <c r="H60" s="8" t="inlineStr">
        <is>
          <t>MS2</t>
        </is>
      </c>
      <c r="I60" s="16" t="n">
        <v>0.1</v>
      </c>
      <c r="J60" s="10">
        <f>Station_BOQ!R6</f>
        <v/>
      </c>
      <c r="K60" s="9">
        <f>I60*62000000*J60</f>
        <v/>
      </c>
      <c r="L60" s="18" t="n">
        <v>0.049</v>
      </c>
      <c r="M60" s="9">
        <f>ROUND(K60*L60,0)</f>
        <v/>
      </c>
      <c r="N60" s="9" t="n">
        <v>47579</v>
      </c>
      <c r="O60" s="9">
        <f>N60-M60</f>
        <v/>
      </c>
      <c r="P60" s="8" t="inlineStr">
        <is>
          <t>MS2 Engineering submittal 10% x station price share 15.66% | Design stage key 4.9% of the engineering-submittal milestone</t>
        </is>
      </c>
      <c r="Q60" s="8" t="inlineStr">
        <is>
          <t>Annex 3 Design and engineering package (railway) allocated by station hardware share</t>
        </is>
      </c>
      <c r="R60" s="9" t="n">
        <v>56</v>
      </c>
      <c r="S60" s="19">
        <f>R60/1000</f>
        <v/>
      </c>
      <c r="T60" s="20" t="n">
        <v>46463</v>
      </c>
      <c r="U60" s="20" t="n">
        <v>46485</v>
      </c>
      <c r="V60" s="8" t="n">
        <v>17</v>
      </c>
    </row>
    <row r="61">
      <c r="A61" s="8" t="inlineStr">
        <is>
          <t>SH-DES</t>
        </is>
      </c>
      <c r="B61" s="8" t="inlineStr">
        <is>
          <t>Design and engineering package (per railway, allocated to the station)</t>
        </is>
      </c>
      <c r="C61" s="8" t="inlineStr">
        <is>
          <t>HMK-E1120</t>
        </is>
      </c>
      <c r="D61" s="8" t="inlineStr">
        <is>
          <t>HCIS Stage 3 and 4 documents: SAR final review and HCIS submission - Makkah</t>
        </is>
      </c>
      <c r="E61" s="8" t="inlineStr">
        <is>
          <t>ENG.HMK.HCS.APR</t>
        </is>
      </c>
      <c r="F61" s="8" t="inlineStr">
        <is>
          <t>Engineering</t>
        </is>
      </c>
      <c r="G61" s="8" t="inlineStr">
        <is>
          <t>HMK</t>
        </is>
      </c>
      <c r="H61" s="8" t="inlineStr">
        <is>
          <t>MS3</t>
        </is>
      </c>
      <c r="I61" s="16" t="n">
        <v>0.1</v>
      </c>
      <c r="J61" s="10">
        <f>Station_BOQ!R6</f>
        <v/>
      </c>
      <c r="K61" s="9">
        <f>I61*62000000*J61</f>
        <v/>
      </c>
      <c r="L61" s="18" t="n">
        <v>0.05</v>
      </c>
      <c r="M61" s="9">
        <f>ROUND(K61*L61,0)</f>
        <v/>
      </c>
      <c r="N61" s="9" t="n">
        <v>48550</v>
      </c>
      <c r="O61" s="9">
        <f>N61-M61</f>
        <v/>
      </c>
      <c r="P61" s="8" t="inlineStr">
        <is>
          <t>MS3 SAR approval of engineering 10% x station price share 15.66% | Design stage key 5.0% of the SAR-approval milestone</t>
        </is>
      </c>
      <c r="Q61" s="8" t="inlineStr">
        <is>
          <t>Annex 3 Design and engineering package (railway) allocated by station hardware share</t>
        </is>
      </c>
      <c r="R61" s="9" t="n">
        <v>50</v>
      </c>
      <c r="S61" s="19">
        <f>R61/1000</f>
        <v/>
      </c>
      <c r="T61" s="20" t="n">
        <v>46488</v>
      </c>
      <c r="U61" s="20" t="n">
        <v>46506</v>
      </c>
      <c r="V61" s="8" t="n">
        <v>15</v>
      </c>
    </row>
    <row r="62">
      <c r="A62" s="8" t="inlineStr">
        <is>
          <t>SH-DES, SH-TRN</t>
        </is>
      </c>
      <c r="B62" s="8" t="inlineStr">
        <is>
          <t>Design and engineering package (per railway, allocated to the station) and Training (per railway, allocated): documentation and training share</t>
        </is>
      </c>
      <c r="C62" s="8" t="inlineStr">
        <is>
          <t>HMK-E1130</t>
        </is>
      </c>
      <c r="D62" s="8" t="inlineStr">
        <is>
          <t>As-built and O&amp;M documentation: submittal - Makkah</t>
        </is>
      </c>
      <c r="E62" s="8" t="inlineStr">
        <is>
          <t>ENG.HMK.ASB.SUB</t>
        </is>
      </c>
      <c r="F62" s="8" t="inlineStr">
        <is>
          <t>Engineering</t>
        </is>
      </c>
      <c r="G62" s="8" t="inlineStr">
        <is>
          <t>HMK</t>
        </is>
      </c>
      <c r="H62" s="8" t="inlineStr">
        <is>
          <t>MS7</t>
        </is>
      </c>
      <c r="I62" s="16" t="n">
        <v>0.1</v>
      </c>
      <c r="J62" s="10">
        <f>Station_BOQ!R6</f>
        <v/>
      </c>
      <c r="K62" s="9">
        <f>I62*62000000*J62</f>
        <v/>
      </c>
      <c r="L62" s="18" t="n">
        <v>0.15</v>
      </c>
      <c r="M62" s="9">
        <f>ROUND(K62*L62,0)</f>
        <v/>
      </c>
      <c r="N62" s="9" t="n">
        <v>145651</v>
      </c>
      <c r="O62" s="9">
        <f>N62-M62</f>
        <v/>
      </c>
      <c r="P62" s="8" t="inlineStr">
        <is>
          <t>MS7 Final acceptance and handover 10% x station price share 15.66% | Fixed key 15% of final-acceptance milestone</t>
        </is>
      </c>
      <c r="Q62" s="8" t="inlineStr">
        <is>
          <t>Annex 3 documentation and training share</t>
        </is>
      </c>
      <c r="R62" s="9" t="n">
        <v>133</v>
      </c>
      <c r="S62" s="19">
        <f>R62/1000</f>
        <v/>
      </c>
      <c r="T62" s="20" t="n">
        <v>46820</v>
      </c>
      <c r="U62" s="20" t="n">
        <v>46889</v>
      </c>
      <c r="V62" s="8" t="n">
        <v>45</v>
      </c>
    </row>
    <row r="63">
      <c r="A63" s="8" t="inlineStr">
        <is>
          <t>SH-DES</t>
        </is>
      </c>
      <c r="B63" s="8" t="inlineStr">
        <is>
          <t>Design and engineering package (per railway, allocated to the station): documentation share</t>
        </is>
      </c>
      <c r="C63" s="8" t="inlineStr">
        <is>
          <t>HMK-E1140</t>
        </is>
      </c>
      <c r="D63" s="8" t="inlineStr">
        <is>
          <t>As-built and O&amp;M documentation: SAR review and approval - Makkah</t>
        </is>
      </c>
      <c r="E63" s="8" t="inlineStr">
        <is>
          <t>ENG.HMK.ASB.APR</t>
        </is>
      </c>
      <c r="F63" s="8" t="inlineStr">
        <is>
          <t>Engineering</t>
        </is>
      </c>
      <c r="G63" s="8" t="inlineStr">
        <is>
          <t>HMK</t>
        </is>
      </c>
      <c r="H63" s="8" t="inlineStr">
        <is>
          <t>MS7</t>
        </is>
      </c>
      <c r="I63" s="16" t="n">
        <v>0.1</v>
      </c>
      <c r="J63" s="10">
        <f>Station_BOQ!R6</f>
        <v/>
      </c>
      <c r="K63" s="9">
        <f>I63*62000000*J63</f>
        <v/>
      </c>
      <c r="L63" s="18" t="n">
        <v>0.05</v>
      </c>
      <c r="M63" s="9">
        <f>ROUND(K63*L63,0)</f>
        <v/>
      </c>
      <c r="N63" s="9" t="n">
        <v>48550</v>
      </c>
      <c r="O63" s="9">
        <f>N63-M63</f>
        <v/>
      </c>
      <c r="P63" s="8" t="inlineStr">
        <is>
          <t>MS7 Final acceptance and handover 10% x station price share 15.66% | Fixed key 5%</t>
        </is>
      </c>
      <c r="Q63" s="8" t="inlineStr">
        <is>
          <t>Annex 3 documentation share</t>
        </is>
      </c>
      <c r="R63" s="9" t="n">
        <v>44</v>
      </c>
      <c r="S63" s="19">
        <f>R63/1000</f>
        <v/>
      </c>
      <c r="T63" s="20" t="n">
        <v>46890</v>
      </c>
      <c r="U63" s="20" t="n">
        <v>46910</v>
      </c>
      <c r="V63" s="8" t="n">
        <v>15</v>
      </c>
    </row>
    <row r="64">
      <c r="A64" s="8" t="inlineStr">
        <is>
          <t>-</t>
        </is>
      </c>
      <c r="B64" s="8" t="inlineStr">
        <is>
          <t>No BOQ cost: administrative or review step with no payment milestone</t>
        </is>
      </c>
      <c r="C64" s="8" t="inlineStr">
        <is>
          <t>HMK-X1010</t>
        </is>
      </c>
      <c r="D64" s="8" t="inlineStr">
        <is>
          <t>Enabling works: site preparation, setting out, temporary works and utilities clearance - Makkah</t>
        </is>
      </c>
      <c r="E64" s="8" t="inlineStr">
        <is>
          <t>CON.HMK.ENA</t>
        </is>
      </c>
      <c r="F64" s="8" t="inlineStr">
        <is>
          <t>Construction</t>
        </is>
      </c>
      <c r="G64" s="8" t="inlineStr">
        <is>
          <t>HMK</t>
        </is>
      </c>
      <c r="H64" s="8" t="inlineStr">
        <is>
          <t>MS5</t>
        </is>
      </c>
      <c r="I64" s="16" t="n">
        <v>0.2</v>
      </c>
      <c r="J64" s="10">
        <f>Station_BOQ!R6</f>
        <v/>
      </c>
      <c r="K64" s="9">
        <f>I64*62000000*J64</f>
        <v/>
      </c>
      <c r="L64" s="18" t="n">
        <v>0.004050819577743626</v>
      </c>
      <c r="M64" s="9">
        <f>ROUND(K64*L64,0)</f>
        <v/>
      </c>
      <c r="N64" s="9" t="n">
        <v>7867</v>
      </c>
      <c r="O64" s="9">
        <f>N64-M64</f>
        <v/>
      </c>
      <c r="P64" s="8" t="inlineStr">
        <is>
          <t>MS5 Installation 20% x station price share 15.66% | BOQ civil share 10.1% x 4% (enabling: site preparation)</t>
        </is>
      </c>
      <c r="Q64" s="8" t="inlineStr">
        <is>
          <t>Annex 3 A6 Civil works (SAR 571,639)</t>
        </is>
      </c>
      <c r="R64" s="9" t="n">
        <v>150</v>
      </c>
      <c r="S64" s="19">
        <f>R64/1000</f>
        <v/>
      </c>
      <c r="T64" s="20" t="n">
        <v>46509</v>
      </c>
      <c r="U64" s="20" t="n">
        <v>46520</v>
      </c>
      <c r="V64" s="8" t="n">
        <v>10</v>
      </c>
    </row>
    <row r="65">
      <c r="A65" s="8" t="inlineStr">
        <is>
          <t>-</t>
        </is>
      </c>
      <c r="B65" s="8" t="inlineStr">
        <is>
          <t>No BOQ cost: administrative or review step with no payment milestone</t>
        </is>
      </c>
      <c r="C65" s="8" t="inlineStr">
        <is>
          <t>HMK-X1020</t>
        </is>
      </c>
      <c r="D65" s="8" t="inlineStr">
        <is>
          <t>Enabling works: cable routes, duct-bank and cabinet plinth preparation - Makkah</t>
        </is>
      </c>
      <c r="E65" s="8" t="inlineStr">
        <is>
          <t>CON.HMK.ENA</t>
        </is>
      </c>
      <c r="F65" s="8" t="inlineStr">
        <is>
          <t>Construction</t>
        </is>
      </c>
      <c r="G65" s="8" t="inlineStr">
        <is>
          <t>HMK</t>
        </is>
      </c>
      <c r="H65" s="8" t="inlineStr">
        <is>
          <t>MS5</t>
        </is>
      </c>
      <c r="I65" s="16" t="n">
        <v>0.2</v>
      </c>
      <c r="J65" s="10">
        <f>Station_BOQ!R6</f>
        <v/>
      </c>
      <c r="K65" s="9">
        <f>I65*62000000*J65</f>
        <v/>
      </c>
      <c r="L65" s="18" t="n">
        <v>0.006076229366615438</v>
      </c>
      <c r="M65" s="9">
        <f>ROUND(K65*L65,0)</f>
        <v/>
      </c>
      <c r="N65" s="9" t="n">
        <v>11800</v>
      </c>
      <c r="O65" s="9">
        <f>N65-M65</f>
        <v/>
      </c>
      <c r="P65" s="8" t="inlineStr">
        <is>
          <t>MS5 Installation 20% x station price share 15.66% | BOQ civil share 10.1% x 6% (enabling: routes, ducts, plinths)</t>
        </is>
      </c>
      <c r="Q65" s="8" t="inlineStr">
        <is>
          <t>Annex 3 A6 Civil works (SAR 571,639)</t>
        </is>
      </c>
      <c r="R65" s="9" t="n">
        <v>226</v>
      </c>
      <c r="S65" s="19">
        <f>R65/1000</f>
        <v/>
      </c>
      <c r="T65" s="20" t="n">
        <v>46530</v>
      </c>
      <c r="U65" s="20" t="n">
        <v>46548</v>
      </c>
      <c r="V65" s="8" t="n">
        <v>15</v>
      </c>
    </row>
    <row r="66">
      <c r="A66" s="8" t="inlineStr">
        <is>
          <t>A1</t>
        </is>
      </c>
      <c r="B66" s="8" t="inlineStr">
        <is>
          <t>A1 CCTV system</t>
        </is>
      </c>
      <c r="C66" s="8" t="inlineStr">
        <is>
          <t>HMK-P1010</t>
        </is>
      </c>
      <c r="D66" s="8" t="inlineStr">
        <is>
          <t>Manufacture CCTV cameras and analytics - Makkah</t>
        </is>
      </c>
      <c r="E66" s="8" t="inlineStr">
        <is>
          <t>PRO.HMK.CCT</t>
        </is>
      </c>
      <c r="F66" s="8" t="inlineStr">
        <is>
          <t>Procurement</t>
        </is>
      </c>
      <c r="G66" s="8" t="inlineStr">
        <is>
          <t>HMK</t>
        </is>
      </c>
      <c r="H66" s="8" t="inlineStr">
        <is>
          <t>MS4</t>
        </is>
      </c>
      <c r="I66" s="16" t="n">
        <v>0.2</v>
      </c>
      <c r="J66" s="10">
        <f>Station_BOQ!R6</f>
        <v/>
      </c>
      <c r="K66" s="9">
        <f>I66*62000000*J66</f>
        <v/>
      </c>
      <c r="L66" s="18" t="n">
        <v>0.2439626389404688</v>
      </c>
      <c r="M66" s="9">
        <f>ROUND(K66*L66,0)</f>
        <v/>
      </c>
      <c r="N66" s="9" t="n">
        <v>473780</v>
      </c>
      <c r="O66" s="9">
        <f>N66-M66</f>
        <v/>
      </c>
      <c r="P66" s="8" t="inlineStr">
        <is>
          <t>MS4 Material delivery 20% x station price share 15.66% | BOQ section share 32.5% of station equipment x 75% (manufacture)</t>
        </is>
      </c>
      <c r="Q66" s="8" t="inlineStr">
        <is>
          <t>Annex 3 A1 CCTV system (SAR 1,650,175)</t>
        </is>
      </c>
      <c r="R66" s="9" t="n">
        <v>1175</v>
      </c>
      <c r="S66" s="19">
        <f>R66/1000</f>
        <v/>
      </c>
      <c r="T66" s="20" t="n">
        <v>46509</v>
      </c>
      <c r="U66" s="20" t="n">
        <v>46628</v>
      </c>
      <c r="V66" s="8" t="n">
        <v>81</v>
      </c>
    </row>
    <row r="67">
      <c r="A67" s="8" t="inlineStr">
        <is>
          <t>A2</t>
        </is>
      </c>
      <c r="B67" s="8" t="inlineStr">
        <is>
          <t>A2 Video management and video wall</t>
        </is>
      </c>
      <c r="C67" s="8" t="inlineStr">
        <is>
          <t>HMK-P1020</t>
        </is>
      </c>
      <c r="D67" s="8" t="inlineStr">
        <is>
          <t>Manufacture video management servers, storage and video wall - Makkah</t>
        </is>
      </c>
      <c r="E67" s="8" t="inlineStr">
        <is>
          <t>PRO.HMK.VMS</t>
        </is>
      </c>
      <c r="F67" s="8" t="inlineStr">
        <is>
          <t>Procurement</t>
        </is>
      </c>
      <c r="G67" s="8" t="inlineStr">
        <is>
          <t>HMK</t>
        </is>
      </c>
      <c r="H67" s="8" t="inlineStr">
        <is>
          <t>MS4</t>
        </is>
      </c>
      <c r="I67" s="16" t="n">
        <v>0.2</v>
      </c>
      <c r="J67" s="10">
        <f>Station_BOQ!R6</f>
        <v/>
      </c>
      <c r="K67" s="9">
        <f>I67*62000000*J67</f>
        <v/>
      </c>
      <c r="L67" s="18" t="n">
        <v>0.08164297473938682</v>
      </c>
      <c r="M67" s="9">
        <f>ROUND(K67*L67,0)</f>
        <v/>
      </c>
      <c r="N67" s="9" t="n">
        <v>158552</v>
      </c>
      <c r="O67" s="9">
        <f>N67-M67</f>
        <v/>
      </c>
      <c r="P67" s="8" t="inlineStr">
        <is>
          <t>MS4 Material delivery 20% x station price share 15.66% | BOQ section share 10.9% of station equipment x 75% (manufacture)</t>
        </is>
      </c>
      <c r="Q67" s="8" t="inlineStr">
        <is>
          <t>Annex 3 A2 Video management and wall (SAR 552,237)</t>
        </is>
      </c>
      <c r="R67" s="9" t="n">
        <v>393</v>
      </c>
      <c r="S67" s="19">
        <f>R67/1000</f>
        <v/>
      </c>
      <c r="T67" s="20" t="n">
        <v>46509</v>
      </c>
      <c r="U67" s="20" t="n">
        <v>46628</v>
      </c>
      <c r="V67" s="8" t="n">
        <v>81</v>
      </c>
    </row>
    <row r="68">
      <c r="A68" s="8" t="inlineStr">
        <is>
          <t>A3</t>
        </is>
      </c>
      <c r="B68" s="8" t="inlineStr">
        <is>
          <t>A3 Access control and intercom</t>
        </is>
      </c>
      <c r="C68" s="8" t="inlineStr">
        <is>
          <t>HMK-P1030</t>
        </is>
      </c>
      <c r="D68" s="8" t="inlineStr">
        <is>
          <t>Manufacture access control and intercom equipment - Makkah</t>
        </is>
      </c>
      <c r="E68" s="8" t="inlineStr">
        <is>
          <t>PRO.HMK.ACC</t>
        </is>
      </c>
      <c r="F68" s="8" t="inlineStr">
        <is>
          <t>Procurement</t>
        </is>
      </c>
      <c r="G68" s="8" t="inlineStr">
        <is>
          <t>HMK</t>
        </is>
      </c>
      <c r="H68" s="8" t="inlineStr">
        <is>
          <t>MS4</t>
        </is>
      </c>
      <c r="I68" s="16" t="n">
        <v>0.2</v>
      </c>
      <c r="J68" s="10">
        <f>Station_BOQ!R6</f>
        <v/>
      </c>
      <c r="K68" s="9">
        <f>I68*62000000*J68</f>
        <v/>
      </c>
      <c r="L68" s="18" t="n">
        <v>0.006517546889081805</v>
      </c>
      <c r="M68" s="9">
        <f>ROUND(K68*L68,0)</f>
        <v/>
      </c>
      <c r="N68" s="9" t="n">
        <v>12657</v>
      </c>
      <c r="O68" s="9">
        <f>N68-M68</f>
        <v/>
      </c>
      <c r="P68" s="8" t="inlineStr">
        <is>
          <t>MS4 Material delivery 20% x station price share 15.66% | BOQ section share 0.9% of station equipment x 75% (manufacture)</t>
        </is>
      </c>
      <c r="Q68" s="8" t="inlineStr">
        <is>
          <t>Annex 3 A3 Access control and intercom (SAR 44,085)</t>
        </is>
      </c>
      <c r="R68" s="9" t="n">
        <v>31</v>
      </c>
      <c r="S68" s="19">
        <f>R68/1000</f>
        <v/>
      </c>
      <c r="T68" s="20" t="n">
        <v>46509</v>
      </c>
      <c r="U68" s="20" t="n">
        <v>46628</v>
      </c>
      <c r="V68" s="8" t="n">
        <v>81</v>
      </c>
    </row>
    <row r="69">
      <c r="A69" s="8" t="inlineStr">
        <is>
          <t>A4, A5</t>
        </is>
      </c>
      <c r="B69" s="8" t="inlineStr">
        <is>
          <t>A4 UPS and A5 Poles, cabinets and network</t>
        </is>
      </c>
      <c r="C69" s="8" t="inlineStr">
        <is>
          <t>HMK-P1040</t>
        </is>
      </c>
      <c r="D69" s="8" t="inlineStr">
        <is>
          <t>Manufacture UPS, network switches and field cabinets - Makkah</t>
        </is>
      </c>
      <c r="E69" s="8" t="inlineStr">
        <is>
          <t>PRO.HMK.UPN</t>
        </is>
      </c>
      <c r="F69" s="8" t="inlineStr">
        <is>
          <t>Procurement</t>
        </is>
      </c>
      <c r="G69" s="8" t="inlineStr">
        <is>
          <t>HMK</t>
        </is>
      </c>
      <c r="H69" s="8" t="inlineStr">
        <is>
          <t>MS4</t>
        </is>
      </c>
      <c r="I69" s="16" t="n">
        <v>0.2</v>
      </c>
      <c r="J69" s="10">
        <f>Station_BOQ!R6</f>
        <v/>
      </c>
      <c r="K69" s="9">
        <f>I69*62000000*J69</f>
        <v/>
      </c>
      <c r="L69" s="18" t="n">
        <v>0.4178768394310626</v>
      </c>
      <c r="M69" s="9">
        <f>ROUND(K69*L69,0)</f>
        <v/>
      </c>
      <c r="N69" s="9" t="n">
        <v>811524</v>
      </c>
      <c r="O69" s="9">
        <f>N69-M69</f>
        <v/>
      </c>
      <c r="P69" s="8" t="inlineStr">
        <is>
          <t>MS4 Material delivery 20% x station price share 15.66% | BOQ section share 55.7% of station equipment x 75% (manufacture)</t>
        </is>
      </c>
      <c r="Q69" s="8" t="inlineStr">
        <is>
          <t>Annex 3 A4 UPS + A5 poles, cabinets and network (SAR 2,826,539)</t>
        </is>
      </c>
      <c r="R69" s="9" t="n">
        <v>2011</v>
      </c>
      <c r="S69" s="19">
        <f>R69/1000</f>
        <v/>
      </c>
      <c r="T69" s="20" t="n">
        <v>46509</v>
      </c>
      <c r="U69" s="20" t="n">
        <v>46628</v>
      </c>
      <c r="V69" s="8" t="n">
        <v>81</v>
      </c>
    </row>
    <row r="70">
      <c r="A70" s="8" t="inlineStr">
        <is>
          <t>SH-FAT</t>
        </is>
      </c>
      <c r="B70" s="8" t="inlineStr">
        <is>
          <t>Factory acceptance test (per railway, allocated)</t>
        </is>
      </c>
      <c r="C70" s="8" t="inlineStr">
        <is>
          <t>HMK-P1050</t>
        </is>
      </c>
      <c r="D70" s="8" t="inlineStr">
        <is>
          <t>Factory acceptance test at vendor premises - Makkah</t>
        </is>
      </c>
      <c r="E70" s="8" t="inlineStr">
        <is>
          <t>PRO.HMK.LOG</t>
        </is>
      </c>
      <c r="F70" s="8" t="inlineStr">
        <is>
          <t>Procurement</t>
        </is>
      </c>
      <c r="G70" s="8" t="inlineStr">
        <is>
          <t>HMK</t>
        </is>
      </c>
      <c r="H70" s="8" t="inlineStr">
        <is>
          <t>MS4</t>
        </is>
      </c>
      <c r="I70" s="16" t="n">
        <v>0.2</v>
      </c>
      <c r="J70" s="10">
        <f>Station_BOQ!R6</f>
        <v/>
      </c>
      <c r="K70" s="9">
        <f>I70*62000000*J70</f>
        <v/>
      </c>
      <c r="L70" s="18" t="n">
        <v>0.05</v>
      </c>
      <c r="M70" s="9">
        <f>ROUND(K70*L70,0)</f>
        <v/>
      </c>
      <c r="N70" s="9" t="n">
        <v>97101</v>
      </c>
      <c r="O70" s="9">
        <f>N70-M70</f>
        <v/>
      </c>
      <c r="P70" s="8" t="inlineStr">
        <is>
          <t>MS4 Material delivery 20% x station price share 15.66% | Fixed key 5% (FAT)</t>
        </is>
      </c>
      <c r="Q70" s="8" t="inlineStr">
        <is>
          <t>Annex 3 Factory acceptance test (railway), allocated by hardware share</t>
        </is>
      </c>
      <c r="R70" s="9" t="n">
        <v>601</v>
      </c>
      <c r="S70" s="19">
        <f>R70/1000</f>
        <v/>
      </c>
      <c r="T70" s="20" t="n">
        <v>46629</v>
      </c>
      <c r="U70" s="20" t="n">
        <v>46642</v>
      </c>
      <c r="V70" s="8" t="n">
        <v>10</v>
      </c>
    </row>
    <row r="71">
      <c r="A71" s="8" t="inlineStr">
        <is>
          <t>A1-A5</t>
        </is>
      </c>
      <c r="B71" s="8" t="inlineStr">
        <is>
          <t>A1 to A5 equipment sections: logistics (shipping, customs, delivery) share</t>
        </is>
      </c>
      <c r="C71" s="8" t="inlineStr">
        <is>
          <t>HMK-P1060</t>
        </is>
      </c>
      <c r="D71" s="8" t="inlineStr">
        <is>
          <t>Shipping and customs clearance - Makkah</t>
        </is>
      </c>
      <c r="E71" s="8" t="inlineStr">
        <is>
          <t>PRO.HMK.LOG</t>
        </is>
      </c>
      <c r="F71" s="8" t="inlineStr">
        <is>
          <t>Procurement</t>
        </is>
      </c>
      <c r="G71" s="8" t="inlineStr">
        <is>
          <t>HMK</t>
        </is>
      </c>
      <c r="H71" s="8" t="inlineStr">
        <is>
          <t>MS4</t>
        </is>
      </c>
      <c r="I71" s="16" t="n">
        <v>0.2</v>
      </c>
      <c r="J71" s="10">
        <f>Station_BOQ!R6</f>
        <v/>
      </c>
      <c r="K71" s="9">
        <f>I71*62000000*J71</f>
        <v/>
      </c>
      <c r="L71" s="18" t="n">
        <v>0.15</v>
      </c>
      <c r="M71" s="9">
        <f>ROUND(K71*L71,0)</f>
        <v/>
      </c>
      <c r="N71" s="9" t="n">
        <v>291303</v>
      </c>
      <c r="O71" s="9">
        <f>N71-M71</f>
        <v/>
      </c>
      <c r="P71" s="8" t="inlineStr">
        <is>
          <t>MS4 Material delivery 20% x station price share 15.66% | Fixed key 15% (shipping and customs)</t>
        </is>
      </c>
      <c r="Q71" s="8" t="inlineStr">
        <is>
          <t>Annex 3 equipment sections A1-A5 (logistics share)</t>
        </is>
      </c>
      <c r="R71" s="9" t="n">
        <v>1204</v>
      </c>
      <c r="S71" s="19">
        <f>R71/1000</f>
        <v/>
      </c>
      <c r="T71" s="20" t="n">
        <v>46643</v>
      </c>
      <c r="U71" s="20" t="n">
        <v>46692</v>
      </c>
      <c r="V71" s="8" t="n">
        <v>35</v>
      </c>
    </row>
    <row r="72">
      <c r="A72" s="8" t="inlineStr">
        <is>
          <t>SH-SPR</t>
        </is>
      </c>
      <c r="B72" s="8" t="inlineStr">
        <is>
          <t>Commissioning spares (per railway, allocated)</t>
        </is>
      </c>
      <c r="C72" s="8" t="inlineStr">
        <is>
          <t>HMK-P1070</t>
        </is>
      </c>
      <c r="D72" s="8" t="inlineStr">
        <is>
          <t>Delivery to station and receiving inspection - Makkah</t>
        </is>
      </c>
      <c r="E72" s="8" t="inlineStr">
        <is>
          <t>PRO.HMK.LOG</t>
        </is>
      </c>
      <c r="F72" s="8" t="inlineStr">
        <is>
          <t>Procurement</t>
        </is>
      </c>
      <c r="G72" s="8" t="inlineStr">
        <is>
          <t>HMK</t>
        </is>
      </c>
      <c r="H72" s="8" t="inlineStr">
        <is>
          <t>MS4</t>
        </is>
      </c>
      <c r="I72" s="16" t="n">
        <v>0.2</v>
      </c>
      <c r="J72" s="10">
        <f>Station_BOQ!R6</f>
        <v/>
      </c>
      <c r="K72" s="9">
        <f>I72*62000000*J72</f>
        <v/>
      </c>
      <c r="L72" s="18" t="n">
        <v>0.05</v>
      </c>
      <c r="M72" s="9">
        <f>ROUND(K72*L72,0)</f>
        <v/>
      </c>
      <c r="N72" s="9" t="n">
        <v>97101</v>
      </c>
      <c r="O72" s="9">
        <f>N72-M72</f>
        <v/>
      </c>
      <c r="P72" s="8" t="inlineStr">
        <is>
          <t>MS4 Material delivery 20% x station price share 15.66% | Fixed key 5% (delivery, receiving) incl. commissioning spares</t>
        </is>
      </c>
      <c r="Q72" s="8" t="inlineStr">
        <is>
          <t>Annex 3 Commissioning spares (railway), allocated by hardware share</t>
        </is>
      </c>
      <c r="R72" s="9" t="n">
        <v>601</v>
      </c>
      <c r="S72" s="19">
        <f>R72/1000</f>
        <v/>
      </c>
      <c r="T72" s="20" t="n">
        <v>46693</v>
      </c>
      <c r="U72" s="20" t="n">
        <v>46699</v>
      </c>
      <c r="V72" s="8" t="n">
        <v>5</v>
      </c>
    </row>
    <row r="73">
      <c r="A73" s="8" t="inlineStr">
        <is>
          <t>A6</t>
        </is>
      </c>
      <c r="B73" s="8" t="inlineStr">
        <is>
          <t>A6 Civil works</t>
        </is>
      </c>
      <c r="C73" s="8" t="inlineStr">
        <is>
          <t>HMK-C1010</t>
        </is>
      </c>
      <c r="D73" s="8" t="inlineStr">
        <is>
          <t>Civil: platform trenches and duct banks - Makkah</t>
        </is>
      </c>
      <c r="E73" s="8" t="inlineStr">
        <is>
          <t>CON.HMK.CIV</t>
        </is>
      </c>
      <c r="F73" s="8" t="inlineStr">
        <is>
          <t>Construction</t>
        </is>
      </c>
      <c r="G73" s="8" t="inlineStr">
        <is>
          <t>HMK</t>
        </is>
      </c>
      <c r="H73" s="8" t="inlineStr">
        <is>
          <t>MS5</t>
        </is>
      </c>
      <c r="I73" s="16" t="n">
        <v>0.2</v>
      </c>
      <c r="J73" s="10">
        <f>Station_BOQ!R6</f>
        <v/>
      </c>
      <c r="K73" s="9">
        <f>I73*62000000*J73</f>
        <v/>
      </c>
      <c r="L73" s="18" t="n">
        <v>0.05063524472179532</v>
      </c>
      <c r="M73" s="9">
        <f>ROUND(K73*L73,0)</f>
        <v/>
      </c>
      <c r="N73" s="9" t="n">
        <v>98335</v>
      </c>
      <c r="O73" s="9">
        <f>N73-M73</f>
        <v/>
      </c>
      <c r="P73" s="8" t="inlineStr">
        <is>
          <t>MS5 Installation 20% x station price share 15.66% | BOQ civil share 10.1% x 50% (trenches and duct banks)</t>
        </is>
      </c>
      <c r="Q73" s="8" t="inlineStr">
        <is>
          <t>Annex 3 A6 Civil works (SAR 571,639)</t>
        </is>
      </c>
      <c r="R73" s="9" t="n">
        <v>977</v>
      </c>
      <c r="S73" s="19">
        <f>R73/1000</f>
        <v/>
      </c>
      <c r="T73" s="20" t="n">
        <v>46551</v>
      </c>
      <c r="U73" s="20" t="n">
        <v>46616</v>
      </c>
      <c r="V73" s="8" t="n">
        <v>48</v>
      </c>
    </row>
    <row r="74">
      <c r="A74" s="8" t="inlineStr">
        <is>
          <t>A6</t>
        </is>
      </c>
      <c r="B74" s="8" t="inlineStr">
        <is>
          <t>A6 Civil works</t>
        </is>
      </c>
      <c r="C74" s="8" t="inlineStr">
        <is>
          <t>HMK-C1020</t>
        </is>
      </c>
      <c r="D74" s="8" t="inlineStr">
        <is>
          <t>Civil: camera and ALPR pole foundations and poles - Makkah</t>
        </is>
      </c>
      <c r="E74" s="8" t="inlineStr">
        <is>
          <t>CON.HMK.CIV</t>
        </is>
      </c>
      <c r="F74" s="8" t="inlineStr">
        <is>
          <t>Construction</t>
        </is>
      </c>
      <c r="G74" s="8" t="inlineStr">
        <is>
          <t>HMK</t>
        </is>
      </c>
      <c r="H74" s="8" t="inlineStr">
        <is>
          <t>MS5</t>
        </is>
      </c>
      <c r="I74" s="16" t="n">
        <v>0.2</v>
      </c>
      <c r="J74" s="10">
        <f>Station_BOQ!R6</f>
        <v/>
      </c>
      <c r="K74" s="9">
        <f>I74*62000000*J74</f>
        <v/>
      </c>
      <c r="L74" s="18" t="n">
        <v>0.04050819577743626</v>
      </c>
      <c r="M74" s="9">
        <f>ROUND(K74*L74,0)</f>
        <v/>
      </c>
      <c r="N74" s="9" t="n">
        <v>78668</v>
      </c>
      <c r="O74" s="9">
        <f>N74-M74</f>
        <v/>
      </c>
      <c r="P74" s="8" t="inlineStr">
        <is>
          <t>MS5 Installation 20% x station price share 15.66% | BOQ civil share 10.1% x 40% (poles)</t>
        </is>
      </c>
      <c r="Q74" s="8" t="inlineStr">
        <is>
          <t>Annex 3 A6 Civil works (SAR 571,639)</t>
        </is>
      </c>
      <c r="R74" s="9" t="n">
        <v>752</v>
      </c>
      <c r="S74" s="19">
        <f>R74/1000</f>
        <v/>
      </c>
      <c r="T74" s="20" t="n">
        <v>46594</v>
      </c>
      <c r="U74" s="20" t="n">
        <v>46644</v>
      </c>
      <c r="V74" s="8" t="n">
        <v>37</v>
      </c>
    </row>
    <row r="75">
      <c r="A75" s="8" t="inlineStr">
        <is>
          <t>A1-A5</t>
        </is>
      </c>
      <c r="B75" s="8" t="inlineStr">
        <is>
          <t>A1 to A5 equipment sections: installation share (works included in unit prices)</t>
        </is>
      </c>
      <c r="C75" s="8" t="inlineStr">
        <is>
          <t>HMK-C2010</t>
        </is>
      </c>
      <c r="D75" s="8" t="inlineStr">
        <is>
          <t>Install UPS, network switches and field cabinets - Makkah</t>
        </is>
      </c>
      <c r="E75" s="8" t="inlineStr">
        <is>
          <t>CON.HMK.INS</t>
        </is>
      </c>
      <c r="F75" s="8" t="inlineStr">
        <is>
          <t>Construction</t>
        </is>
      </c>
      <c r="G75" s="8" t="inlineStr">
        <is>
          <t>HMK</t>
        </is>
      </c>
      <c r="H75" s="8" t="inlineStr">
        <is>
          <t>MS5</t>
        </is>
      </c>
      <c r="I75" s="16" t="n">
        <v>0.2</v>
      </c>
      <c r="J75" s="10">
        <f>Station_BOQ!R6</f>
        <v/>
      </c>
      <c r="K75" s="9">
        <f>I75*62000000*J75</f>
        <v/>
      </c>
      <c r="L75" s="18" t="n">
        <v>0.1797459021112819</v>
      </c>
      <c r="M75" s="9">
        <f>ROUND(K75*L75,0)</f>
        <v/>
      </c>
      <c r="N75" s="9" t="n">
        <v>349070</v>
      </c>
      <c r="O75" s="9">
        <f>N75-M75</f>
        <v/>
      </c>
      <c r="P75" s="8" t="inlineStr">
        <is>
          <t>MS5 Installation 20% x station price share 15.66% | Installation key 20% x (1 - civil share 10.1%)</t>
        </is>
      </c>
      <c r="Q75" s="8" t="inlineStr">
        <is>
          <t>Annex 3 equipment sections A1-A5 (installation share)</t>
        </is>
      </c>
      <c r="R75" s="9" t="n">
        <v>451</v>
      </c>
      <c r="S75" s="19">
        <f>R75/1000</f>
        <v/>
      </c>
      <c r="T75" s="20" t="n">
        <v>46700</v>
      </c>
      <c r="U75" s="20" t="n">
        <v>46733</v>
      </c>
      <c r="V75" s="8" t="n">
        <v>24</v>
      </c>
    </row>
    <row r="76">
      <c r="A76" s="8" t="inlineStr">
        <is>
          <t>A1-A5</t>
        </is>
      </c>
      <c r="B76" s="8" t="inlineStr">
        <is>
          <t>A1 to A5 equipment sections: installation share (works included in unit prices)</t>
        </is>
      </c>
      <c r="C76" s="8" t="inlineStr">
        <is>
          <t>HMK-C2020</t>
        </is>
      </c>
      <c r="D76" s="8" t="inlineStr">
        <is>
          <t>Cabling and termination (power, fibre, data) - Makkah</t>
        </is>
      </c>
      <c r="E76" s="8" t="inlineStr">
        <is>
          <t>CON.HMK.INS</t>
        </is>
      </c>
      <c r="F76" s="8" t="inlineStr">
        <is>
          <t>Construction</t>
        </is>
      </c>
      <c r="G76" s="8" t="inlineStr">
        <is>
          <t>HMK</t>
        </is>
      </c>
      <c r="H76" s="8" t="inlineStr">
        <is>
          <t>MS5</t>
        </is>
      </c>
      <c r="I76" s="16" t="n">
        <v>0.2</v>
      </c>
      <c r="J76" s="10">
        <f>Station_BOQ!R6</f>
        <v/>
      </c>
      <c r="K76" s="9">
        <f>I76*62000000*J76</f>
        <v/>
      </c>
      <c r="L76" s="18" t="n">
        <v>0.2696188531669228</v>
      </c>
      <c r="M76" s="9">
        <f>ROUND(K76*L76,0)</f>
        <v/>
      </c>
      <c r="N76" s="9" t="n">
        <v>523604</v>
      </c>
      <c r="O76" s="9">
        <f>N76-M76</f>
        <v/>
      </c>
      <c r="P76" s="8" t="inlineStr">
        <is>
          <t>MS5 Installation 20% x station price share 15.66% | Installation key 30% x (1 - civil share 10.1%)</t>
        </is>
      </c>
      <c r="Q76" s="8" t="inlineStr">
        <is>
          <t>Annex 3 equipment sections A1-A5 (installation share)</t>
        </is>
      </c>
      <c r="R76" s="9" t="n">
        <v>902</v>
      </c>
      <c r="S76" s="19">
        <f>R76/1000</f>
        <v/>
      </c>
      <c r="T76" s="20" t="n">
        <v>46712</v>
      </c>
      <c r="U76" s="20" t="n">
        <v>46768</v>
      </c>
      <c r="V76" s="8" t="n">
        <v>41</v>
      </c>
    </row>
    <row r="77">
      <c r="A77" s="8" t="inlineStr">
        <is>
          <t>A1-A5</t>
        </is>
      </c>
      <c r="B77" s="8" t="inlineStr">
        <is>
          <t>A1 to A5 equipment sections: installation share (works included in unit prices)</t>
        </is>
      </c>
      <c r="C77" s="8" t="inlineStr">
        <is>
          <t>HMK-C2030</t>
        </is>
      </c>
      <c r="D77" s="8" t="inlineStr">
        <is>
          <t>Install and aim CCTV cameras - Makkah</t>
        </is>
      </c>
      <c r="E77" s="8" t="inlineStr">
        <is>
          <t>CON.HMK.INS</t>
        </is>
      </c>
      <c r="F77" s="8" t="inlineStr">
        <is>
          <t>Construction</t>
        </is>
      </c>
      <c r="G77" s="8" t="inlineStr">
        <is>
          <t>HMK</t>
        </is>
      </c>
      <c r="H77" s="8" t="inlineStr">
        <is>
          <t>MS5</t>
        </is>
      </c>
      <c r="I77" s="16" t="n">
        <v>0.2</v>
      </c>
      <c r="J77" s="10">
        <f>Station_BOQ!R6</f>
        <v/>
      </c>
      <c r="K77" s="9">
        <f>I77*62000000*J77</f>
        <v/>
      </c>
      <c r="L77" s="18" t="n">
        <v>0.2246823776391023</v>
      </c>
      <c r="M77" s="9">
        <f>ROUND(K77*L77,0)</f>
        <v/>
      </c>
      <c r="N77" s="9" t="n">
        <v>436337</v>
      </c>
      <c r="O77" s="9">
        <f>N77-M77</f>
        <v/>
      </c>
      <c r="P77" s="8" t="inlineStr">
        <is>
          <t>MS5 Installation 20% x station price share 15.66% | Installation key 25% x (1 - civil share 10.1%)</t>
        </is>
      </c>
      <c r="Q77" s="8" t="inlineStr">
        <is>
          <t>Annex 3 equipment sections A1-A5 (installation share)</t>
        </is>
      </c>
      <c r="R77" s="9" t="n">
        <v>752</v>
      </c>
      <c r="S77" s="19">
        <f>R77/1000</f>
        <v/>
      </c>
      <c r="T77" s="20" t="n">
        <v>46769</v>
      </c>
      <c r="U77" s="20" t="n">
        <v>46819</v>
      </c>
      <c r="V77" s="8" t="n">
        <v>32</v>
      </c>
    </row>
    <row r="78">
      <c r="A78" s="8" t="inlineStr">
        <is>
          <t>A1-A5</t>
        </is>
      </c>
      <c r="B78" s="8" t="inlineStr">
        <is>
          <t>A1 to A5 equipment sections: installation share (works included in unit prices)</t>
        </is>
      </c>
      <c r="C78" s="8" t="inlineStr">
        <is>
          <t>HMK-C2040</t>
        </is>
      </c>
      <c r="D78" s="8" t="inlineStr">
        <is>
          <t>Install video management, video wall and control-room equipment - Makkah</t>
        </is>
      </c>
      <c r="E78" s="8" t="inlineStr">
        <is>
          <t>CON.HMK.INS</t>
        </is>
      </c>
      <c r="F78" s="8" t="inlineStr">
        <is>
          <t>Construction</t>
        </is>
      </c>
      <c r="G78" s="8" t="inlineStr">
        <is>
          <t>HMK</t>
        </is>
      </c>
      <c r="H78" s="8" t="inlineStr">
        <is>
          <t>MS5</t>
        </is>
      </c>
      <c r="I78" s="16" t="n">
        <v>0.2</v>
      </c>
      <c r="J78" s="10">
        <f>Station_BOQ!R6</f>
        <v/>
      </c>
      <c r="K78" s="9">
        <f>I78*62000000*J78</f>
        <v/>
      </c>
      <c r="L78" s="18" t="n">
        <v>0.1348094265834614</v>
      </c>
      <c r="M78" s="9">
        <f>ROUND(K78*L78,0)</f>
        <v/>
      </c>
      <c r="N78" s="9" t="n">
        <v>261802</v>
      </c>
      <c r="O78" s="9">
        <f>N78-M78</f>
        <v/>
      </c>
      <c r="P78" s="8" t="inlineStr">
        <is>
          <t>MS5 Installation 20% x station price share 15.66% | Installation key 15% x (1 - civil share 10.1%)</t>
        </is>
      </c>
      <c r="Q78" s="8" t="inlineStr">
        <is>
          <t>Annex 3 equipment sections A1-A5 (installation share)</t>
        </is>
      </c>
      <c r="R78" s="9" t="n">
        <v>451</v>
      </c>
      <c r="S78" s="19">
        <f>R78/1000</f>
        <v/>
      </c>
      <c r="T78" s="20" t="n">
        <v>46734</v>
      </c>
      <c r="U78" s="20" t="n">
        <v>46771</v>
      </c>
      <c r="V78" s="8" t="n">
        <v>28</v>
      </c>
    </row>
    <row r="79">
      <c r="A79" s="8" t="inlineStr">
        <is>
          <t>A1-A5</t>
        </is>
      </c>
      <c r="B79" s="8" t="inlineStr">
        <is>
          <t>A1 to A5 equipment sections: installation share (works included in unit prices)</t>
        </is>
      </c>
      <c r="C79" s="8" t="inlineStr">
        <is>
          <t>HMK-C2050</t>
        </is>
      </c>
      <c r="D79" s="8" t="inlineStr">
        <is>
          <t>Install access control and intercom - Makkah</t>
        </is>
      </c>
      <c r="E79" s="8" t="inlineStr">
        <is>
          <t>CON.HMK.INS</t>
        </is>
      </c>
      <c r="F79" s="8" t="inlineStr">
        <is>
          <t>Construction</t>
        </is>
      </c>
      <c r="G79" s="8" t="inlineStr">
        <is>
          <t>HMK</t>
        </is>
      </c>
      <c r="H79" s="8" t="inlineStr">
        <is>
          <t>MS5</t>
        </is>
      </c>
      <c r="I79" s="16" t="n">
        <v>0.2</v>
      </c>
      <c r="J79" s="10">
        <f>Station_BOQ!R6</f>
        <v/>
      </c>
      <c r="K79" s="9">
        <f>I79*62000000*J79</f>
        <v/>
      </c>
      <c r="L79" s="18" t="n">
        <v>0.08987295105564094</v>
      </c>
      <c r="M79" s="9">
        <f>ROUND(K79*L79,0)</f>
        <v/>
      </c>
      <c r="N79" s="9" t="n">
        <v>174535</v>
      </c>
      <c r="O79" s="9">
        <f>N79-M79</f>
        <v/>
      </c>
      <c r="P79" s="8" t="inlineStr">
        <is>
          <t>MS5 Installation 20% x station price share 15.66% | Installation key 10% x (1 - civil share 10.1%)</t>
        </is>
      </c>
      <c r="Q79" s="8" t="inlineStr">
        <is>
          <t>Annex 3 equipment sections A1-A5 (installation share)</t>
        </is>
      </c>
      <c r="R79" s="9" t="n">
        <v>301</v>
      </c>
      <c r="S79" s="19">
        <f>R79/1000</f>
        <v/>
      </c>
      <c r="T79" s="20" t="n">
        <v>46744</v>
      </c>
      <c r="U79" s="20" t="n">
        <v>46777</v>
      </c>
      <c r="V79" s="8" t="n">
        <v>24</v>
      </c>
    </row>
    <row r="80">
      <c r="A80" s="8" t="inlineStr">
        <is>
          <t>A1-A5</t>
        </is>
      </c>
      <c r="B80" s="8" t="inlineStr">
        <is>
          <t>A1 to A5 equipment sections: testing and commissioning share</t>
        </is>
      </c>
      <c r="C80" s="8" t="inlineStr">
        <is>
          <t>HMK-T1010</t>
        </is>
      </c>
      <c r="D80" s="8" t="inlineStr">
        <is>
          <t>Pre-commissioning and loop checks - Makkah</t>
        </is>
      </c>
      <c r="E80" s="8" t="inlineStr">
        <is>
          <t>COM.HMK.TST</t>
        </is>
      </c>
      <c r="F80" s="8" t="inlineStr">
        <is>
          <t>Commissioning and handover</t>
        </is>
      </c>
      <c r="G80" s="8" t="inlineStr">
        <is>
          <t>HMK</t>
        </is>
      </c>
      <c r="H80" s="8" t="inlineStr">
        <is>
          <t>MS6</t>
        </is>
      </c>
      <c r="I80" s="16" t="n">
        <v>0.1</v>
      </c>
      <c r="J80" s="10">
        <f>Station_BOQ!R6</f>
        <v/>
      </c>
      <c r="K80" s="9">
        <f>I80*62000000*J80</f>
        <v/>
      </c>
      <c r="L80" s="18" t="n">
        <v>0.4</v>
      </c>
      <c r="M80" s="9">
        <f>ROUND(K80*L80,0)</f>
        <v/>
      </c>
      <c r="N80" s="9" t="n">
        <v>388404</v>
      </c>
      <c r="O80" s="9">
        <f>N80-M80</f>
        <v/>
      </c>
      <c r="P80" s="8" t="inlineStr">
        <is>
          <t>MS6 Testing and commissioning (SAT) 10% x station price share 15.66% | Fixed key 40% of SAT milestone</t>
        </is>
      </c>
      <c r="Q80" s="8" t="inlineStr">
        <is>
          <t>Annex 3 equipment sections A1-A5 (testing share)</t>
        </is>
      </c>
      <c r="R80" s="9" t="n">
        <v>451</v>
      </c>
      <c r="S80" s="19">
        <f>R80/1000</f>
        <v/>
      </c>
      <c r="T80" s="20" t="n">
        <v>46820</v>
      </c>
      <c r="U80" s="20" t="n">
        <v>46835</v>
      </c>
      <c r="V80" s="8" t="n">
        <v>12</v>
      </c>
    </row>
    <row r="81">
      <c r="A81" s="8" t="inlineStr">
        <is>
          <t>A1-A5</t>
        </is>
      </c>
      <c r="B81" s="8" t="inlineStr">
        <is>
          <t>A1 to A5 equipment sections: testing and commissioning share</t>
        </is>
      </c>
      <c r="C81" s="8" t="inlineStr">
        <is>
          <t>HMK-T1020</t>
        </is>
      </c>
      <c r="D81" s="8" t="inlineStr">
        <is>
          <t>Site acceptance test (SAT) and commissioning - Makkah</t>
        </is>
      </c>
      <c r="E81" s="8" t="inlineStr">
        <is>
          <t>COM.HMK.TST</t>
        </is>
      </c>
      <c r="F81" s="8" t="inlineStr">
        <is>
          <t>Commissioning and handover</t>
        </is>
      </c>
      <c r="G81" s="8" t="inlineStr">
        <is>
          <t>HMK</t>
        </is>
      </c>
      <c r="H81" s="8" t="inlineStr">
        <is>
          <t>MS6</t>
        </is>
      </c>
      <c r="I81" s="16" t="n">
        <v>0.1</v>
      </c>
      <c r="J81" s="10">
        <f>Station_BOQ!R6</f>
        <v/>
      </c>
      <c r="K81" s="9">
        <f>I81*62000000*J81</f>
        <v/>
      </c>
      <c r="L81" s="18" t="n">
        <v>0.6</v>
      </c>
      <c r="M81" s="9">
        <f>ROUND(K81*L81,0)</f>
        <v/>
      </c>
      <c r="N81" s="9" t="n">
        <v>582605</v>
      </c>
      <c r="O81" s="9">
        <f>N81-M81</f>
        <v/>
      </c>
      <c r="P81" s="8" t="inlineStr">
        <is>
          <t>MS6 Testing and commissioning (SAT) 10% x station price share 15.66% | Fixed key 60% of SAT milestone</t>
        </is>
      </c>
      <c r="Q81" s="8" t="inlineStr">
        <is>
          <t>Annex 3 equipment sections A1-A5 (testing share)</t>
        </is>
      </c>
      <c r="R81" s="9" t="n">
        <v>601</v>
      </c>
      <c r="S81" s="19">
        <f>R81/1000</f>
        <v/>
      </c>
      <c r="T81" s="20" t="n">
        <v>46838</v>
      </c>
      <c r="U81" s="20" t="n">
        <v>46861</v>
      </c>
      <c r="V81" s="8" t="n">
        <v>18</v>
      </c>
    </row>
    <row r="82">
      <c r="A82" s="8" t="inlineStr">
        <is>
          <t>SH-TRN</t>
        </is>
      </c>
      <c r="B82" s="8" t="inlineStr">
        <is>
          <t>Training (per railway, allocated)</t>
        </is>
      </c>
      <c r="C82" s="8" t="inlineStr">
        <is>
          <t>HMK-T2010</t>
        </is>
      </c>
      <c r="D82" s="8" t="inlineStr">
        <is>
          <t>Operator and maintenance training - Makkah</t>
        </is>
      </c>
      <c r="E82" s="8" t="inlineStr">
        <is>
          <t>COM.HMK.TRN</t>
        </is>
      </c>
      <c r="F82" s="8" t="inlineStr">
        <is>
          <t>Commissioning and handover</t>
        </is>
      </c>
      <c r="G82" s="8" t="inlineStr">
        <is>
          <t>HMK</t>
        </is>
      </c>
      <c r="H82" s="8" t="inlineStr">
        <is>
          <t>MS7</t>
        </is>
      </c>
      <c r="I82" s="16" t="n">
        <v>0.1</v>
      </c>
      <c r="J82" s="10">
        <f>Station_BOQ!R6</f>
        <v/>
      </c>
      <c r="K82" s="9">
        <f>I82*62000000*J82</f>
        <v/>
      </c>
      <c r="L82" s="18" t="n">
        <v>0.15</v>
      </c>
      <c r="M82" s="9">
        <f>ROUND(K82*L82,0)</f>
        <v/>
      </c>
      <c r="N82" s="9" t="n">
        <v>145651</v>
      </c>
      <c r="O82" s="9">
        <f>N82-M82</f>
        <v/>
      </c>
      <c r="P82" s="8" t="inlineStr">
        <is>
          <t>MS7 Final acceptance and handover 10% x station price share 15.66% | Fixed key 15%</t>
        </is>
      </c>
      <c r="Q82" s="8" t="inlineStr">
        <is>
          <t>Annex 3 Training (railway), allocated by hardware share</t>
        </is>
      </c>
      <c r="R82" s="9" t="n">
        <v>301</v>
      </c>
      <c r="S82" s="19">
        <f>R82/1000</f>
        <v/>
      </c>
      <c r="T82" s="20" t="n">
        <v>46862</v>
      </c>
      <c r="U82" s="20" t="n">
        <v>46882</v>
      </c>
      <c r="V82" s="8" t="n">
        <v>10</v>
      </c>
    </row>
    <row r="83">
      <c r="A83" s="8" t="inlineStr">
        <is>
          <t>A1-A5</t>
        </is>
      </c>
      <c r="B83" s="8" t="inlineStr">
        <is>
          <t>A1 to A5 equipment sections: trial operation share</t>
        </is>
      </c>
      <c r="C83" s="8" t="inlineStr">
        <is>
          <t>HMK-T2020</t>
        </is>
      </c>
      <c r="D83" s="8" t="inlineStr">
        <is>
          <t>Trial operation (maximum 45 days) - Makkah</t>
        </is>
      </c>
      <c r="E83" s="8" t="inlineStr">
        <is>
          <t>COM.HMK.TOA</t>
        </is>
      </c>
      <c r="F83" s="8" t="inlineStr">
        <is>
          <t>Commissioning and handover</t>
        </is>
      </c>
      <c r="G83" s="8" t="inlineStr">
        <is>
          <t>HMK</t>
        </is>
      </c>
      <c r="H83" s="8" t="inlineStr">
        <is>
          <t>MS7</t>
        </is>
      </c>
      <c r="I83" s="16" t="n">
        <v>0.1</v>
      </c>
      <c r="J83" s="10">
        <f>Station_BOQ!R6</f>
        <v/>
      </c>
      <c r="K83" s="9">
        <f>I83*62000000*J83</f>
        <v/>
      </c>
      <c r="L83" s="18" t="n">
        <v>0.35</v>
      </c>
      <c r="M83" s="9">
        <f>ROUND(K83*L83,0)</f>
        <v/>
      </c>
      <c r="N83" s="9" t="n">
        <v>339853</v>
      </c>
      <c r="O83" s="9">
        <f>N83-M83</f>
        <v/>
      </c>
      <c r="P83" s="8" t="inlineStr">
        <is>
          <t>MS7 Final acceptance and handover 10% x station price share 15.66% | Fixed key 35%</t>
        </is>
      </c>
      <c r="Q83" s="8" t="inlineStr">
        <is>
          <t>Annex 3 equipment sections A1-A5 (trial operation share)</t>
        </is>
      </c>
      <c r="R83" s="9" t="n">
        <v>451</v>
      </c>
      <c r="S83" s="19">
        <f>R83/1000</f>
        <v/>
      </c>
      <c r="T83" s="20" t="n">
        <v>46862</v>
      </c>
      <c r="U83" s="20" t="n">
        <v>46910</v>
      </c>
      <c r="V83" s="8" t="n">
        <v>30</v>
      </c>
    </row>
    <row r="84">
      <c r="A84" s="8" t="inlineStr">
        <is>
          <t>A1-A5</t>
        </is>
      </c>
      <c r="B84" s="8" t="inlineStr">
        <is>
          <t>A1 to A5 equipment sections: handover share</t>
        </is>
      </c>
      <c r="C84" s="8" t="inlineStr">
        <is>
          <t>HMK-T3010</t>
        </is>
      </c>
      <c r="D84" s="8" t="inlineStr">
        <is>
          <t>Taking-over application, SAR review and handover - Makkah</t>
        </is>
      </c>
      <c r="E84" s="8" t="inlineStr">
        <is>
          <t>COM.HMK.TOA</t>
        </is>
      </c>
      <c r="F84" s="8" t="inlineStr">
        <is>
          <t>Commissioning and handover</t>
        </is>
      </c>
      <c r="G84" s="8" t="inlineStr">
        <is>
          <t>HMK</t>
        </is>
      </c>
      <c r="H84" s="8" t="inlineStr">
        <is>
          <t>MS7</t>
        </is>
      </c>
      <c r="I84" s="16" t="n">
        <v>0.1</v>
      </c>
      <c r="J84" s="10">
        <f>Station_BOQ!R6</f>
        <v/>
      </c>
      <c r="K84" s="9">
        <f>I84*62000000*J84</f>
        <v/>
      </c>
      <c r="L84" s="18" t="n">
        <v>0.3</v>
      </c>
      <c r="M84" s="9">
        <f>ROUND(K84*L84,0)</f>
        <v/>
      </c>
      <c r="N84" s="9" t="n">
        <v>291303</v>
      </c>
      <c r="O84" s="9">
        <f>N84-M84</f>
        <v/>
      </c>
      <c r="P84" s="8" t="inlineStr">
        <is>
          <t>MS7 Final acceptance and handover 10% x station price share 15.66% | Fixed key 30%</t>
        </is>
      </c>
      <c r="Q84" s="8" t="inlineStr">
        <is>
          <t>Annex 3 equipment sections A1-A5 (handover share)</t>
        </is>
      </c>
      <c r="R84" s="9" t="n">
        <v>451</v>
      </c>
      <c r="S84" s="19">
        <f>R84/1000</f>
        <v/>
      </c>
      <c r="T84" s="20" t="n">
        <v>46911</v>
      </c>
      <c r="U84" s="20" t="n">
        <v>46940</v>
      </c>
      <c r="V84" s="8" t="n">
        <v>22</v>
      </c>
    </row>
    <row r="85">
      <c r="A85" s="8" t="inlineStr">
        <is>
          <t>SH-DES</t>
        </is>
      </c>
      <c r="B85" s="8" t="inlineStr">
        <is>
          <t>Design and engineering package (per railway, allocated to the station)</t>
        </is>
      </c>
      <c r="C85" s="8" t="inlineStr">
        <is>
          <t>ERY-E1010</t>
        </is>
      </c>
      <c r="D85" s="8" t="inlineStr">
        <is>
          <t>Survey: submittal of site survey and as-found report - Riyadh (Malaz)</t>
        </is>
      </c>
      <c r="E85" s="8" t="inlineStr">
        <is>
          <t>ENG.ERY.SRV.SUB</t>
        </is>
      </c>
      <c r="F85" s="8" t="inlineStr">
        <is>
          <t>Engineering</t>
        </is>
      </c>
      <c r="G85" s="8" t="inlineStr">
        <is>
          <t>ERY</t>
        </is>
      </c>
      <c r="H85" s="8" t="inlineStr">
        <is>
          <t>MS2</t>
        </is>
      </c>
      <c r="I85" s="16" t="n">
        <v>0.1</v>
      </c>
      <c r="J85" s="10">
        <f>Station_BOQ!R7</f>
        <v/>
      </c>
      <c r="K85" s="9">
        <f>I85*62000000*J85</f>
        <v/>
      </c>
      <c r="L85" s="18" t="n">
        <v>0.06900000000000001</v>
      </c>
      <c r="M85" s="9">
        <f>ROUND(K85*L85,0)</f>
        <v/>
      </c>
      <c r="N85" s="9" t="n">
        <v>21331</v>
      </c>
      <c r="O85" s="9">
        <f>N85-M85</f>
        <v/>
      </c>
      <c r="P85" s="8" t="inlineStr">
        <is>
          <t>MS2 Engineering submittal 10% x station price share 4.99% | Design stage key 6.9% of the engineering-submittal milestone</t>
        </is>
      </c>
      <c r="Q85" s="8" t="inlineStr">
        <is>
          <t>Annex 3 Design and engineering package (railway) allocated by station hardware share</t>
        </is>
      </c>
      <c r="R85" s="9" t="n">
        <v>27</v>
      </c>
      <c r="S85" s="19">
        <f>R85/1000</f>
        <v/>
      </c>
      <c r="T85" s="20" t="n">
        <v>46390</v>
      </c>
      <c r="U85" s="20" t="n">
        <v>46399</v>
      </c>
      <c r="V85" s="8" t="n">
        <v>8</v>
      </c>
    </row>
    <row r="86">
      <c r="A86" s="8" t="inlineStr">
        <is>
          <t>SH-DES</t>
        </is>
      </c>
      <c r="B86" s="8" t="inlineStr">
        <is>
          <t>Design and engineering package (per railway, allocated to the station)</t>
        </is>
      </c>
      <c r="C86" s="8" t="inlineStr">
        <is>
          <t>ERY-E1020</t>
        </is>
      </c>
      <c r="D86" s="8" t="inlineStr">
        <is>
          <t>Survey: SAR approval of survey report - Riyadh (Malaz)</t>
        </is>
      </c>
      <c r="E86" s="8" t="inlineStr">
        <is>
          <t>ENG.ERY.SRV.APR</t>
        </is>
      </c>
      <c r="F86" s="8" t="inlineStr">
        <is>
          <t>Engineering</t>
        </is>
      </c>
      <c r="G86" s="8" t="inlineStr">
        <is>
          <t>ERY</t>
        </is>
      </c>
      <c r="H86" s="8" t="inlineStr">
        <is>
          <t>MS3</t>
        </is>
      </c>
      <c r="I86" s="16" t="n">
        <v>0.1</v>
      </c>
      <c r="J86" s="10">
        <f>Station_BOQ!R7</f>
        <v/>
      </c>
      <c r="K86" s="9">
        <f>I86*62000000*J86</f>
        <v/>
      </c>
      <c r="L86" s="18" t="n">
        <v>0.05</v>
      </c>
      <c r="M86" s="9">
        <f>ROUND(K86*L86,0)</f>
        <v/>
      </c>
      <c r="N86" s="9" t="n">
        <v>15458</v>
      </c>
      <c r="O86" s="9">
        <f>N86-M86</f>
        <v/>
      </c>
      <c r="P86" s="8" t="inlineStr">
        <is>
          <t>MS3 SAR approval of engineering 10% x station price share 4.99% | Design stage key 5.0% of the SAR-approval milestone</t>
        </is>
      </c>
      <c r="Q86" s="8" t="inlineStr">
        <is>
          <t>Annex 3 Design and engineering package (railway) allocated by station hardware share</t>
        </is>
      </c>
      <c r="R86" s="9" t="n">
        <v>29</v>
      </c>
      <c r="S86" s="19">
        <f>R86/1000</f>
        <v/>
      </c>
      <c r="T86" s="20" t="n">
        <v>46400</v>
      </c>
      <c r="U86" s="20" t="n">
        <v>46420</v>
      </c>
      <c r="V86" s="8" t="n">
        <v>15</v>
      </c>
    </row>
    <row r="87">
      <c r="A87" s="8" t="inlineStr">
        <is>
          <t>SH-DES</t>
        </is>
      </c>
      <c r="B87" s="8" t="inlineStr">
        <is>
          <t>Design and engineering package (per railway, allocated to the station)</t>
        </is>
      </c>
      <c r="C87" s="8" t="inlineStr">
        <is>
          <t>ERY-E1030</t>
        </is>
      </c>
      <c r="D87" s="8" t="inlineStr">
        <is>
          <t>Concept design: submittal - Riyadh (Malaz)</t>
        </is>
      </c>
      <c r="E87" s="8" t="inlineStr">
        <is>
          <t>ENG.ERY.CNC.SUB</t>
        </is>
      </c>
      <c r="F87" s="8" t="inlineStr">
        <is>
          <t>Engineering</t>
        </is>
      </c>
      <c r="G87" s="8" t="inlineStr">
        <is>
          <t>ERY</t>
        </is>
      </c>
      <c r="H87" s="8" t="inlineStr">
        <is>
          <t>MS2</t>
        </is>
      </c>
      <c r="I87" s="16" t="n">
        <v>0.1</v>
      </c>
      <c r="J87" s="10">
        <f>Station_BOQ!R7</f>
        <v/>
      </c>
      <c r="K87" s="9">
        <f>I87*62000000*J87</f>
        <v/>
      </c>
      <c r="L87" s="18" t="n">
        <v>0.098</v>
      </c>
      <c r="M87" s="9">
        <f>ROUND(K87*L87,0)</f>
        <v/>
      </c>
      <c r="N87" s="9" t="n">
        <v>30297</v>
      </c>
      <c r="O87" s="9">
        <f>N87-M87</f>
        <v/>
      </c>
      <c r="P87" s="8" t="inlineStr">
        <is>
          <t>MS2 Engineering submittal 10% x station price share 4.99% | Design stage key 9.8% of the engineering-submittal milestone</t>
        </is>
      </c>
      <c r="Q87" s="8" t="inlineStr">
        <is>
          <t>Annex 3 Design and engineering package (railway) allocated by station hardware share</t>
        </is>
      </c>
      <c r="R87" s="9" t="n">
        <v>20</v>
      </c>
      <c r="S87" s="19">
        <f>R87/1000</f>
        <v/>
      </c>
      <c r="T87" s="20" t="n">
        <v>46400</v>
      </c>
      <c r="U87" s="20" t="n">
        <v>46411</v>
      </c>
      <c r="V87" s="8" t="n">
        <v>8</v>
      </c>
    </row>
    <row r="88">
      <c r="A88" s="8" t="inlineStr">
        <is>
          <t>SH-DES</t>
        </is>
      </c>
      <c r="B88" s="8" t="inlineStr">
        <is>
          <t>Design and engineering package (per railway, allocated to the station)</t>
        </is>
      </c>
      <c r="C88" s="8" t="inlineStr">
        <is>
          <t>ERY-E1040</t>
        </is>
      </c>
      <c r="D88" s="8" t="inlineStr">
        <is>
          <t>Concept design: SAR review and approval - Riyadh (Malaz)</t>
        </is>
      </c>
      <c r="E88" s="8" t="inlineStr">
        <is>
          <t>ENG.ERY.CNC.APR</t>
        </is>
      </c>
      <c r="F88" s="8" t="inlineStr">
        <is>
          <t>Engineering</t>
        </is>
      </c>
      <c r="G88" s="8" t="inlineStr">
        <is>
          <t>ERY</t>
        </is>
      </c>
      <c r="H88" s="8" t="inlineStr">
        <is>
          <t>MS3</t>
        </is>
      </c>
      <c r="I88" s="16" t="n">
        <v>0.1</v>
      </c>
      <c r="J88" s="10">
        <f>Station_BOQ!R7</f>
        <v/>
      </c>
      <c r="K88" s="9">
        <f>I88*62000000*J88</f>
        <v/>
      </c>
      <c r="L88" s="18" t="n">
        <v>0.1</v>
      </c>
      <c r="M88" s="9">
        <f>ROUND(K88*L88,0)</f>
        <v/>
      </c>
      <c r="N88" s="9" t="n">
        <v>30915</v>
      </c>
      <c r="O88" s="9">
        <f>N88-M88</f>
        <v/>
      </c>
      <c r="P88" s="8" t="inlineStr">
        <is>
          <t>MS3 SAR approval of engineering 10% x station price share 4.99% | Design stage key 10.0% of the SAR-approval milestone</t>
        </is>
      </c>
      <c r="Q88" s="8" t="inlineStr">
        <is>
          <t>Annex 3 Design and engineering package (railway) allocated by station hardware share</t>
        </is>
      </c>
      <c r="R88" s="9" t="n">
        <v>37</v>
      </c>
      <c r="S88" s="19">
        <f>R88/1000</f>
        <v/>
      </c>
      <c r="T88" s="20" t="n">
        <v>46412</v>
      </c>
      <c r="U88" s="20" t="n">
        <v>46432</v>
      </c>
      <c r="V88" s="8" t="n">
        <v>15</v>
      </c>
    </row>
    <row r="89">
      <c r="A89" s="8" t="inlineStr">
        <is>
          <t>SH-DES</t>
        </is>
      </c>
      <c r="B89" s="8" t="inlineStr">
        <is>
          <t>Design and engineering package (per railway, allocated to the station)</t>
        </is>
      </c>
      <c r="C89" s="8" t="inlineStr">
        <is>
          <t>ERY-E1050</t>
        </is>
      </c>
      <c r="D89" s="8" t="inlineStr">
        <is>
          <t>Preliminary design: submittal - Riyadh (Malaz)</t>
        </is>
      </c>
      <c r="E89" s="8" t="inlineStr">
        <is>
          <t>ENG.ERY.PRE.SUB</t>
        </is>
      </c>
      <c r="F89" s="8" t="inlineStr">
        <is>
          <t>Engineering</t>
        </is>
      </c>
      <c r="G89" s="8" t="inlineStr">
        <is>
          <t>ERY</t>
        </is>
      </c>
      <c r="H89" s="8" t="inlineStr">
        <is>
          <t>MS2</t>
        </is>
      </c>
      <c r="I89" s="16" t="n">
        <v>0.1</v>
      </c>
      <c r="J89" s="10">
        <f>Station_BOQ!R7</f>
        <v/>
      </c>
      <c r="K89" s="9">
        <f>I89*62000000*J89</f>
        <v/>
      </c>
      <c r="L89" s="18" t="n">
        <v>0.196</v>
      </c>
      <c r="M89" s="9">
        <f>ROUND(K89*L89,0)</f>
        <v/>
      </c>
      <c r="N89" s="9" t="n">
        <v>60594</v>
      </c>
      <c r="O89" s="9">
        <f>N89-M89</f>
        <v/>
      </c>
      <c r="P89" s="8" t="inlineStr">
        <is>
          <t>MS2 Engineering submittal 10% x station price share 4.99% | Design stage key 19.6% of the engineering-submittal milestone</t>
        </is>
      </c>
      <c r="Q89" s="8" t="inlineStr">
        <is>
          <t>Annex 3 Design and engineering package (railway) allocated by station hardware share</t>
        </is>
      </c>
      <c r="R89" s="9" t="n">
        <v>49</v>
      </c>
      <c r="S89" s="19">
        <f>R89/1000</f>
        <v/>
      </c>
      <c r="T89" s="20" t="n">
        <v>46412</v>
      </c>
      <c r="U89" s="20" t="n">
        <v>46429</v>
      </c>
      <c r="V89" s="8" t="n">
        <v>14</v>
      </c>
    </row>
    <row r="90">
      <c r="A90" s="8" t="inlineStr">
        <is>
          <t>SH-DES</t>
        </is>
      </c>
      <c r="B90" s="8" t="inlineStr">
        <is>
          <t>Design and engineering package (per railway, allocated to the station)</t>
        </is>
      </c>
      <c r="C90" s="8" t="inlineStr">
        <is>
          <t>ERY-E1060</t>
        </is>
      </c>
      <c r="D90" s="8" t="inlineStr">
        <is>
          <t>Preliminary design: SAR review and approval - Riyadh (Malaz)</t>
        </is>
      </c>
      <c r="E90" s="8" t="inlineStr">
        <is>
          <t>ENG.ERY.PRE.APR</t>
        </is>
      </c>
      <c r="F90" s="8" t="inlineStr">
        <is>
          <t>Engineering</t>
        </is>
      </c>
      <c r="G90" s="8" t="inlineStr">
        <is>
          <t>ERY</t>
        </is>
      </c>
      <c r="H90" s="8" t="inlineStr">
        <is>
          <t>MS3</t>
        </is>
      </c>
      <c r="I90" s="16" t="n">
        <v>0.1</v>
      </c>
      <c r="J90" s="10">
        <f>Station_BOQ!R7</f>
        <v/>
      </c>
      <c r="K90" s="9">
        <f>I90*62000000*J90</f>
        <v/>
      </c>
      <c r="L90" s="18" t="n">
        <v>0.2</v>
      </c>
      <c r="M90" s="9">
        <f>ROUND(K90*L90,0)</f>
        <v/>
      </c>
      <c r="N90" s="9" t="n">
        <v>61830</v>
      </c>
      <c r="O90" s="9">
        <f>N90-M90</f>
        <v/>
      </c>
      <c r="P90" s="8" t="inlineStr">
        <is>
          <t>MS3 SAR approval of engineering 10% x station price share 4.99% | Design stage key 20.0% of the SAR-approval milestone</t>
        </is>
      </c>
      <c r="Q90" s="8" t="inlineStr">
        <is>
          <t>Annex 3 Design and engineering package (railway) allocated by station hardware share</t>
        </is>
      </c>
      <c r="R90" s="9" t="n">
        <v>52</v>
      </c>
      <c r="S90" s="19">
        <f>R90/1000</f>
        <v/>
      </c>
      <c r="T90" s="20" t="n">
        <v>46432</v>
      </c>
      <c r="U90" s="20" t="n">
        <v>46460</v>
      </c>
      <c r="V90" s="8" t="n">
        <v>15</v>
      </c>
    </row>
    <row r="91">
      <c r="A91" s="8" t="inlineStr">
        <is>
          <t>SH-DES</t>
        </is>
      </c>
      <c r="B91" s="8" t="inlineStr">
        <is>
          <t>Design and engineering package (per railway, allocated to the station)</t>
        </is>
      </c>
      <c r="C91" s="8" t="inlineStr">
        <is>
          <t>ERY-E1070</t>
        </is>
      </c>
      <c r="D91" s="8" t="inlineStr">
        <is>
          <t>Detailed design: submittal (drawings, BOQ, data sheets) - Riyadh (Malaz)</t>
        </is>
      </c>
      <c r="E91" s="8" t="inlineStr">
        <is>
          <t>ENG.ERY.DET.SUB</t>
        </is>
      </c>
      <c r="F91" s="8" t="inlineStr">
        <is>
          <t>Engineering</t>
        </is>
      </c>
      <c r="G91" s="8" t="inlineStr">
        <is>
          <t>ERY</t>
        </is>
      </c>
      <c r="H91" s="8" t="inlineStr">
        <is>
          <t>MS2</t>
        </is>
      </c>
      <c r="I91" s="16" t="n">
        <v>0.1</v>
      </c>
      <c r="J91" s="10">
        <f>Station_BOQ!R7</f>
        <v/>
      </c>
      <c r="K91" s="9">
        <f>I91*62000000*J91</f>
        <v/>
      </c>
      <c r="L91" s="18" t="n">
        <v>0.392</v>
      </c>
      <c r="M91" s="9">
        <f>ROUND(K91*L91,0)</f>
        <v/>
      </c>
      <c r="N91" s="9" t="n">
        <v>121188</v>
      </c>
      <c r="O91" s="9">
        <f>N91-M91</f>
        <v/>
      </c>
      <c r="P91" s="8" t="inlineStr">
        <is>
          <t>MS2 Engineering submittal 10% x station price share 4.99% | Design stage key 39.2% of the engineering-submittal milestone</t>
        </is>
      </c>
      <c r="Q91" s="8" t="inlineStr">
        <is>
          <t>Annex 3 Design and engineering package (railway) allocated by station hardware share</t>
        </is>
      </c>
      <c r="R91" s="9" t="n">
        <v>100</v>
      </c>
      <c r="S91" s="19">
        <f>R91/1000</f>
        <v/>
      </c>
      <c r="T91" s="20" t="n">
        <v>46432</v>
      </c>
      <c r="U91" s="20" t="n">
        <v>46469</v>
      </c>
      <c r="V91" s="8" t="n">
        <v>22</v>
      </c>
    </row>
    <row r="92">
      <c r="A92" s="8" t="inlineStr">
        <is>
          <t>SH-DES</t>
        </is>
      </c>
      <c r="B92" s="8" t="inlineStr">
        <is>
          <t>Design and engineering package (per railway, allocated to the station)</t>
        </is>
      </c>
      <c r="C92" s="8" t="inlineStr">
        <is>
          <t>ERY-E1080</t>
        </is>
      </c>
      <c r="D92" s="8" t="inlineStr">
        <is>
          <t>Detailed design: SAR review and approval - Riyadh (Malaz)</t>
        </is>
      </c>
      <c r="E92" s="8" t="inlineStr">
        <is>
          <t>ENG.ERY.DET.APR</t>
        </is>
      </c>
      <c r="F92" s="8" t="inlineStr">
        <is>
          <t>Engineering</t>
        </is>
      </c>
      <c r="G92" s="8" t="inlineStr">
        <is>
          <t>ERY</t>
        </is>
      </c>
      <c r="H92" s="8" t="inlineStr">
        <is>
          <t>MS3</t>
        </is>
      </c>
      <c r="I92" s="16" t="n">
        <v>0.1</v>
      </c>
      <c r="J92" s="10">
        <f>Station_BOQ!R7</f>
        <v/>
      </c>
      <c r="K92" s="9">
        <f>I92*62000000*J92</f>
        <v/>
      </c>
      <c r="L92" s="18" t="n">
        <v>0.4</v>
      </c>
      <c r="M92" s="9">
        <f>ROUND(K92*L92,0)</f>
        <v/>
      </c>
      <c r="N92" s="9" t="n">
        <v>123661</v>
      </c>
      <c r="O92" s="9">
        <f>N92-M92</f>
        <v/>
      </c>
      <c r="P92" s="8" t="inlineStr">
        <is>
          <t>MS3 SAR approval of engineering 10% x station price share 4.99% | Design stage key 40.0% of the SAR-approval milestone</t>
        </is>
      </c>
      <c r="Q92" s="8" t="inlineStr">
        <is>
          <t>Annex 3 Design and engineering package (railway) allocated by station hardware share</t>
        </is>
      </c>
      <c r="R92" s="9" t="n">
        <v>68</v>
      </c>
      <c r="S92" s="19">
        <f>R92/1000</f>
        <v/>
      </c>
      <c r="T92" s="20" t="n">
        <v>46470</v>
      </c>
      <c r="U92" s="20" t="n">
        <v>46490</v>
      </c>
      <c r="V92" s="8" t="n">
        <v>15</v>
      </c>
    </row>
    <row r="93">
      <c r="A93" s="8" t="inlineStr">
        <is>
          <t>SH-DES</t>
        </is>
      </c>
      <c r="B93" s="8" t="inlineStr">
        <is>
          <t>Design and engineering package (per railway, allocated to the station)</t>
        </is>
      </c>
      <c r="C93" s="8" t="inlineStr">
        <is>
          <t>ERY-E1090</t>
        </is>
      </c>
      <c r="D93" s="8" t="inlineStr">
        <is>
          <t>IFC and shop drawings: submittal - Riyadh (Malaz)</t>
        </is>
      </c>
      <c r="E93" s="8" t="inlineStr">
        <is>
          <t>ENG.ERY.IFC.SUB</t>
        </is>
      </c>
      <c r="F93" s="8" t="inlineStr">
        <is>
          <t>Engineering</t>
        </is>
      </c>
      <c r="G93" s="8" t="inlineStr">
        <is>
          <t>ERY</t>
        </is>
      </c>
      <c r="H93" s="8" t="inlineStr">
        <is>
          <t>MS2</t>
        </is>
      </c>
      <c r="I93" s="16" t="n">
        <v>0.1</v>
      </c>
      <c r="J93" s="10">
        <f>Station_BOQ!R7</f>
        <v/>
      </c>
      <c r="K93" s="9">
        <f>I93*62000000*J93</f>
        <v/>
      </c>
      <c r="L93" s="18" t="n">
        <v>0.196</v>
      </c>
      <c r="M93" s="9">
        <f>ROUND(K93*L93,0)</f>
        <v/>
      </c>
      <c r="N93" s="9" t="n">
        <v>60594</v>
      </c>
      <c r="O93" s="9">
        <f>N93-M93</f>
        <v/>
      </c>
      <c r="P93" s="8" t="inlineStr">
        <is>
          <t>MS2 Engineering submittal 10% x station price share 4.99% | Design stage key 19.6% of the engineering-submittal milestone</t>
        </is>
      </c>
      <c r="Q93" s="8" t="inlineStr">
        <is>
          <t>Annex 3 Design and engineering package (railway) allocated by station hardware share</t>
        </is>
      </c>
      <c r="R93" s="9" t="n">
        <v>45</v>
      </c>
      <c r="S93" s="19">
        <f>R93/1000</f>
        <v/>
      </c>
      <c r="T93" s="20" t="n">
        <v>46470</v>
      </c>
      <c r="U93" s="20" t="n">
        <v>46485</v>
      </c>
      <c r="V93" s="8" t="n">
        <v>12</v>
      </c>
    </row>
    <row r="94">
      <c r="A94" s="8" t="inlineStr">
        <is>
          <t>SH-DES</t>
        </is>
      </c>
      <c r="B94" s="8" t="inlineStr">
        <is>
          <t>Design and engineering package (per railway, allocated to the station)</t>
        </is>
      </c>
      <c r="C94" s="8" t="inlineStr">
        <is>
          <t>ERY-E1100</t>
        </is>
      </c>
      <c r="D94" s="8" t="inlineStr">
        <is>
          <t>IFC and shop drawings: SAR approval and release - Riyadh (Malaz)</t>
        </is>
      </c>
      <c r="E94" s="8" t="inlineStr">
        <is>
          <t>ENG.ERY.IFC.APR</t>
        </is>
      </c>
      <c r="F94" s="8" t="inlineStr">
        <is>
          <t>Engineering</t>
        </is>
      </c>
      <c r="G94" s="8" t="inlineStr">
        <is>
          <t>ERY</t>
        </is>
      </c>
      <c r="H94" s="8" t="inlineStr">
        <is>
          <t>MS3</t>
        </is>
      </c>
      <c r="I94" s="16" t="n">
        <v>0.1</v>
      </c>
      <c r="J94" s="10">
        <f>Station_BOQ!R7</f>
        <v/>
      </c>
      <c r="K94" s="9">
        <f>I94*62000000*J94</f>
        <v/>
      </c>
      <c r="L94" s="18" t="n">
        <v>0.2</v>
      </c>
      <c r="M94" s="9">
        <f>ROUND(K94*L94,0)</f>
        <v/>
      </c>
      <c r="N94" s="9" t="n">
        <v>61830</v>
      </c>
      <c r="O94" s="9">
        <f>N94-M94</f>
        <v/>
      </c>
      <c r="P94" s="8" t="inlineStr">
        <is>
          <t>MS3 SAR approval of engineering 10% x station price share 4.99% | Design stage key 20.0% of the SAR-approval milestone</t>
        </is>
      </c>
      <c r="Q94" s="8" t="inlineStr">
        <is>
          <t>Annex 3 Design and engineering package (railway) allocated by station hardware share</t>
        </is>
      </c>
      <c r="R94" s="9" t="n">
        <v>56</v>
      </c>
      <c r="S94" s="19">
        <f>R94/1000</f>
        <v/>
      </c>
      <c r="T94" s="20" t="n">
        <v>46488</v>
      </c>
      <c r="U94" s="20" t="n">
        <v>46506</v>
      </c>
      <c r="V94" s="8" t="n">
        <v>15</v>
      </c>
    </row>
    <row r="95">
      <c r="A95" s="8" t="inlineStr">
        <is>
          <t>SH-DES</t>
        </is>
      </c>
      <c r="B95" s="8" t="inlineStr">
        <is>
          <t>Design and engineering package (per railway, allocated to the station)</t>
        </is>
      </c>
      <c r="C95" s="8" t="inlineStr">
        <is>
          <t>ERY-E1110</t>
        </is>
      </c>
      <c r="D95" s="8" t="inlineStr">
        <is>
          <t>HCIS Stage 3 and 4 documents: preparation - Riyadh (Malaz)</t>
        </is>
      </c>
      <c r="E95" s="8" t="inlineStr">
        <is>
          <t>ENG.ERY.HCS.SUB</t>
        </is>
      </c>
      <c r="F95" s="8" t="inlineStr">
        <is>
          <t>Engineering</t>
        </is>
      </c>
      <c r="G95" s="8" t="inlineStr">
        <is>
          <t>ERY</t>
        </is>
      </c>
      <c r="H95" s="8" t="inlineStr">
        <is>
          <t>MS2</t>
        </is>
      </c>
      <c r="I95" s="16" t="n">
        <v>0.1</v>
      </c>
      <c r="J95" s="10">
        <f>Station_BOQ!R7</f>
        <v/>
      </c>
      <c r="K95" s="9">
        <f>I95*62000000*J95</f>
        <v/>
      </c>
      <c r="L95" s="18" t="n">
        <v>0.049</v>
      </c>
      <c r="M95" s="9">
        <f>ROUND(K95*L95,0)</f>
        <v/>
      </c>
      <c r="N95" s="9" t="n">
        <v>15148</v>
      </c>
      <c r="O95" s="9">
        <f>N95-M95</f>
        <v/>
      </c>
      <c r="P95" s="8" t="inlineStr">
        <is>
          <t>MS2 Engineering submittal 10% x station price share 4.99% | Design stage key 4.9% of the engineering-submittal milestone</t>
        </is>
      </c>
      <c r="Q95" s="8" t="inlineStr">
        <is>
          <t>Annex 3 Design and engineering package (railway) allocated by station hardware share</t>
        </is>
      </c>
      <c r="R95" s="9" t="n">
        <v>21</v>
      </c>
      <c r="S95" s="19">
        <f>R95/1000</f>
        <v/>
      </c>
      <c r="T95" s="20" t="n">
        <v>46443</v>
      </c>
      <c r="U95" s="20" t="n">
        <v>46485</v>
      </c>
      <c r="V95" s="8" t="n">
        <v>26</v>
      </c>
    </row>
    <row r="96">
      <c r="A96" s="8" t="inlineStr">
        <is>
          <t>SH-DES</t>
        </is>
      </c>
      <c r="B96" s="8" t="inlineStr">
        <is>
          <t>Design and engineering package (per railway, allocated to the station)</t>
        </is>
      </c>
      <c r="C96" s="8" t="inlineStr">
        <is>
          <t>ERY-E1120</t>
        </is>
      </c>
      <c r="D96" s="8" t="inlineStr">
        <is>
          <t>HCIS Stage 3 and 4 documents: SAR final review and HCIS submission - Riyadh (Malaz)</t>
        </is>
      </c>
      <c r="E96" s="8" t="inlineStr">
        <is>
          <t>ENG.ERY.HCS.APR</t>
        </is>
      </c>
      <c r="F96" s="8" t="inlineStr">
        <is>
          <t>Engineering</t>
        </is>
      </c>
      <c r="G96" s="8" t="inlineStr">
        <is>
          <t>ERY</t>
        </is>
      </c>
      <c r="H96" s="8" t="inlineStr">
        <is>
          <t>MS3</t>
        </is>
      </c>
      <c r="I96" s="16" t="n">
        <v>0.1</v>
      </c>
      <c r="J96" s="10">
        <f>Station_BOQ!R7</f>
        <v/>
      </c>
      <c r="K96" s="9">
        <f>I96*62000000*J96</f>
        <v/>
      </c>
      <c r="L96" s="18" t="n">
        <v>0.05</v>
      </c>
      <c r="M96" s="9">
        <f>ROUND(K96*L96,0)</f>
        <v/>
      </c>
      <c r="N96" s="9" t="n">
        <v>15458</v>
      </c>
      <c r="O96" s="9">
        <f>N96-M96</f>
        <v/>
      </c>
      <c r="P96" s="8" t="inlineStr">
        <is>
          <t>MS3 SAR approval of engineering 10% x station price share 4.99% | Design stage key 5.0% of the SAR-approval milestone</t>
        </is>
      </c>
      <c r="Q96" s="8" t="inlineStr">
        <is>
          <t>Annex 3 Design and engineering package (railway) allocated by station hardware share</t>
        </is>
      </c>
      <c r="R96" s="9" t="n">
        <v>12</v>
      </c>
      <c r="S96" s="19">
        <f>R96/1000</f>
        <v/>
      </c>
      <c r="T96" s="20" t="n">
        <v>46488</v>
      </c>
      <c r="U96" s="20" t="n">
        <v>46506</v>
      </c>
      <c r="V96" s="8" t="n">
        <v>15</v>
      </c>
    </row>
    <row r="97">
      <c r="A97" s="8" t="inlineStr">
        <is>
          <t>SH-DES, SH-TRN</t>
        </is>
      </c>
      <c r="B97" s="8" t="inlineStr">
        <is>
          <t>Design and engineering package (per railway, allocated to the station) and Training (per railway, allocated): documentation and training share</t>
        </is>
      </c>
      <c r="C97" s="8" t="inlineStr">
        <is>
          <t>ERY-E1130</t>
        </is>
      </c>
      <c r="D97" s="8" t="inlineStr">
        <is>
          <t>As-built and O&amp;M documentation: submittal - Riyadh (Malaz)</t>
        </is>
      </c>
      <c r="E97" s="8" t="inlineStr">
        <is>
          <t>ENG.ERY.ASB.SUB</t>
        </is>
      </c>
      <c r="F97" s="8" t="inlineStr">
        <is>
          <t>Engineering</t>
        </is>
      </c>
      <c r="G97" s="8" t="inlineStr">
        <is>
          <t>ERY</t>
        </is>
      </c>
      <c r="H97" s="8" t="inlineStr">
        <is>
          <t>MS7</t>
        </is>
      </c>
      <c r="I97" s="16" t="n">
        <v>0.1</v>
      </c>
      <c r="J97" s="10">
        <f>Station_BOQ!R7</f>
        <v/>
      </c>
      <c r="K97" s="9">
        <f>I97*62000000*J97</f>
        <v/>
      </c>
      <c r="L97" s="18" t="n">
        <v>0.15</v>
      </c>
      <c r="M97" s="9">
        <f>ROUND(K97*L97,0)</f>
        <v/>
      </c>
      <c r="N97" s="9" t="n">
        <v>46373</v>
      </c>
      <c r="O97" s="9">
        <f>N97-M97</f>
        <v/>
      </c>
      <c r="P97" s="8" t="inlineStr">
        <is>
          <t>MS7 Final acceptance and handover 10% x station price share 4.99% | Fixed key 15% of final-acceptance milestone</t>
        </is>
      </c>
      <c r="Q97" s="8" t="inlineStr">
        <is>
          <t>Annex 3 documentation and training share</t>
        </is>
      </c>
      <c r="R97" s="9" t="n">
        <v>36</v>
      </c>
      <c r="S97" s="19">
        <f>R97/1000</f>
        <v/>
      </c>
      <c r="T97" s="20" t="n">
        <v>46679</v>
      </c>
      <c r="U97" s="20" t="n">
        <v>46715</v>
      </c>
      <c r="V97" s="8" t="n">
        <v>27</v>
      </c>
    </row>
    <row r="98">
      <c r="A98" s="8" t="inlineStr">
        <is>
          <t>SH-DES</t>
        </is>
      </c>
      <c r="B98" s="8" t="inlineStr">
        <is>
          <t>Design and engineering package (per railway, allocated to the station): documentation share</t>
        </is>
      </c>
      <c r="C98" s="8" t="inlineStr">
        <is>
          <t>ERY-E1140</t>
        </is>
      </c>
      <c r="D98" s="8" t="inlineStr">
        <is>
          <t>As-built and O&amp;M documentation: SAR review and approval - Riyadh (Malaz)</t>
        </is>
      </c>
      <c r="E98" s="8" t="inlineStr">
        <is>
          <t>ENG.ERY.ASB.APR</t>
        </is>
      </c>
      <c r="F98" s="8" t="inlineStr">
        <is>
          <t>Engineering</t>
        </is>
      </c>
      <c r="G98" s="8" t="inlineStr">
        <is>
          <t>ERY</t>
        </is>
      </c>
      <c r="H98" s="8" t="inlineStr">
        <is>
          <t>MS7</t>
        </is>
      </c>
      <c r="I98" s="16" t="n">
        <v>0.1</v>
      </c>
      <c r="J98" s="10">
        <f>Station_BOQ!R7</f>
        <v/>
      </c>
      <c r="K98" s="9">
        <f>I98*62000000*J98</f>
        <v/>
      </c>
      <c r="L98" s="18" t="n">
        <v>0.05</v>
      </c>
      <c r="M98" s="9">
        <f>ROUND(K98*L98,0)</f>
        <v/>
      </c>
      <c r="N98" s="9" t="n">
        <v>15458</v>
      </c>
      <c r="O98" s="9">
        <f>N98-M98</f>
        <v/>
      </c>
      <c r="P98" s="8" t="inlineStr">
        <is>
          <t>MS7 Final acceptance and handover 10% x station price share 4.99% | Fixed key 5%</t>
        </is>
      </c>
      <c r="Q98" s="8" t="inlineStr">
        <is>
          <t>Annex 3 documentation share</t>
        </is>
      </c>
      <c r="R98" s="9" t="n">
        <v>20</v>
      </c>
      <c r="S98" s="19">
        <f>R98/1000</f>
        <v/>
      </c>
      <c r="T98" s="20" t="n">
        <v>46716</v>
      </c>
      <c r="U98" s="20" t="n">
        <v>46736</v>
      </c>
      <c r="V98" s="8" t="n">
        <v>15</v>
      </c>
    </row>
    <row r="99">
      <c r="A99" s="8" t="inlineStr">
        <is>
          <t>-</t>
        </is>
      </c>
      <c r="B99" s="8" t="inlineStr">
        <is>
          <t>No BOQ cost: administrative or review step with no payment milestone</t>
        </is>
      </c>
      <c r="C99" s="8" t="inlineStr">
        <is>
          <t>ERY-X1010</t>
        </is>
      </c>
      <c r="D99" s="8" t="inlineStr">
        <is>
          <t>Enabling works: site preparation, setting out, temporary works and utilities clearance - Riyadh (Malaz)</t>
        </is>
      </c>
      <c r="E99" s="8" t="inlineStr">
        <is>
          <t>CON.ERY.ENA</t>
        </is>
      </c>
      <c r="F99" s="8" t="inlineStr">
        <is>
          <t>Construction</t>
        </is>
      </c>
      <c r="G99" s="8" t="inlineStr">
        <is>
          <t>ERY</t>
        </is>
      </c>
      <c r="H99" s="8" t="inlineStr">
        <is>
          <t>MS5</t>
        </is>
      </c>
      <c r="I99" s="16" t="n">
        <v>0.2</v>
      </c>
      <c r="J99" s="10">
        <f>Station_BOQ!R7</f>
        <v/>
      </c>
      <c r="K99" s="9">
        <f>I99*62000000*J99</f>
        <v/>
      </c>
      <c r="L99" s="18" t="n">
        <v>0.0142373823462139</v>
      </c>
      <c r="M99" s="9">
        <f>ROUND(K99*L99,0)</f>
        <v/>
      </c>
      <c r="N99" s="9" t="n">
        <v>8803</v>
      </c>
      <c r="O99" s="9">
        <f>N99-M99</f>
        <v/>
      </c>
      <c r="P99" s="8" t="inlineStr">
        <is>
          <t>MS5 Installation 20% x station price share 4.99% | BOQ civil share 35.6% x 4% (enabling: site preparation)</t>
        </is>
      </c>
      <c r="Q99" s="8" t="inlineStr">
        <is>
          <t>Annex 3 A6 Civil works (SAR 701,825)</t>
        </is>
      </c>
      <c r="R99" s="9" t="n">
        <v>48</v>
      </c>
      <c r="S99" s="19">
        <f>R99/1000</f>
        <v/>
      </c>
      <c r="T99" s="20" t="n">
        <v>46509</v>
      </c>
      <c r="U99" s="20" t="n">
        <v>46513</v>
      </c>
      <c r="V99" s="8" t="n">
        <v>5</v>
      </c>
    </row>
    <row r="100">
      <c r="A100" s="8" t="inlineStr">
        <is>
          <t>-</t>
        </is>
      </c>
      <c r="B100" s="8" t="inlineStr">
        <is>
          <t>No BOQ cost: administrative or review step with no payment milestone</t>
        </is>
      </c>
      <c r="C100" s="8" t="inlineStr">
        <is>
          <t>ERY-X1020</t>
        </is>
      </c>
      <c r="D100" s="8" t="inlineStr">
        <is>
          <t>Enabling works: cable routes, duct-bank and cabinet plinth preparation - Riyadh (Malaz)</t>
        </is>
      </c>
      <c r="E100" s="8" t="inlineStr">
        <is>
          <t>CON.ERY.ENA</t>
        </is>
      </c>
      <c r="F100" s="8" t="inlineStr">
        <is>
          <t>Construction</t>
        </is>
      </c>
      <c r="G100" s="8" t="inlineStr">
        <is>
          <t>ERY</t>
        </is>
      </c>
      <c r="H100" s="8" t="inlineStr">
        <is>
          <t>MS5</t>
        </is>
      </c>
      <c r="I100" s="16" t="n">
        <v>0.2</v>
      </c>
      <c r="J100" s="10">
        <f>Station_BOQ!R7</f>
        <v/>
      </c>
      <c r="K100" s="9">
        <f>I100*62000000*J100</f>
        <v/>
      </c>
      <c r="L100" s="18" t="n">
        <v>0.02135607351932086</v>
      </c>
      <c r="M100" s="9">
        <f>ROUND(K100*L100,0)</f>
        <v/>
      </c>
      <c r="N100" s="9" t="n">
        <v>13205</v>
      </c>
      <c r="O100" s="9">
        <f>N100-M100</f>
        <v/>
      </c>
      <c r="P100" s="8" t="inlineStr">
        <is>
          <t>MS5 Installation 20% x station price share 4.99% | BOQ civil share 35.6% x 6% (enabling: routes, ducts, plinths)</t>
        </is>
      </c>
      <c r="Q100" s="8" t="inlineStr">
        <is>
          <t>Annex 3 A6 Civil works (SAR 701,825)</t>
        </is>
      </c>
      <c r="R100" s="9" t="n">
        <v>72</v>
      </c>
      <c r="S100" s="19">
        <f>R100/1000</f>
        <v/>
      </c>
      <c r="T100" s="20" t="n">
        <v>46516</v>
      </c>
      <c r="U100" s="20" t="n">
        <v>46534</v>
      </c>
      <c r="V100" s="8" t="n">
        <v>10</v>
      </c>
    </row>
    <row r="101">
      <c r="A101" s="8" t="inlineStr">
        <is>
          <t>A1</t>
        </is>
      </c>
      <c r="B101" s="8" t="inlineStr">
        <is>
          <t>A1 CCTV system</t>
        </is>
      </c>
      <c r="C101" s="8" t="inlineStr">
        <is>
          <t>ERY-P1010</t>
        </is>
      </c>
      <c r="D101" s="8" t="inlineStr">
        <is>
          <t>Manufacture CCTV cameras and analytics - Riyadh (Malaz)</t>
        </is>
      </c>
      <c r="E101" s="8" t="inlineStr">
        <is>
          <t>PRO.ERY.CCT</t>
        </is>
      </c>
      <c r="F101" s="8" t="inlineStr">
        <is>
          <t>Procurement</t>
        </is>
      </c>
      <c r="G101" s="8" t="inlineStr">
        <is>
          <t>ERY</t>
        </is>
      </c>
      <c r="H101" s="8" t="inlineStr">
        <is>
          <t>MS4</t>
        </is>
      </c>
      <c r="I101" s="16" t="n">
        <v>0.2</v>
      </c>
      <c r="J101" s="10">
        <f>Station_BOQ!R7</f>
        <v/>
      </c>
      <c r="K101" s="9">
        <f>I101*62000000*J101</f>
        <v/>
      </c>
      <c r="L101" s="18" t="n">
        <v>0.1634991684751283</v>
      </c>
      <c r="M101" s="9">
        <f>ROUND(K101*L101,0)</f>
        <v/>
      </c>
      <c r="N101" s="9" t="n">
        <v>101092</v>
      </c>
      <c r="O101" s="9">
        <f>N101-M101</f>
        <v/>
      </c>
      <c r="P101" s="8" t="inlineStr">
        <is>
          <t>MS4 Material delivery 20% x station price share 4.99% | BOQ section share 21.8% of station equipment x 75% (manufacture)</t>
        </is>
      </c>
      <c r="Q101" s="8" t="inlineStr">
        <is>
          <t>Annex 3 A1 CCTV system (SAR 276,849)</t>
        </is>
      </c>
      <c r="R101" s="9" t="n">
        <v>250</v>
      </c>
      <c r="S101" s="19">
        <f>R101/1000</f>
        <v/>
      </c>
      <c r="T101" s="20" t="n">
        <v>46509</v>
      </c>
      <c r="U101" s="20" t="n">
        <v>46574</v>
      </c>
      <c r="V101" s="8" t="n">
        <v>43</v>
      </c>
    </row>
    <row r="102">
      <c r="A102" s="8" t="inlineStr">
        <is>
          <t>A2</t>
        </is>
      </c>
      <c r="B102" s="8" t="inlineStr">
        <is>
          <t>A2 Video management and video wall</t>
        </is>
      </c>
      <c r="C102" s="8" t="inlineStr">
        <is>
          <t>ERY-P1020</t>
        </is>
      </c>
      <c r="D102" s="8" t="inlineStr">
        <is>
          <t>Manufacture video management servers, storage and video wall - Riyadh (Malaz)</t>
        </is>
      </c>
      <c r="E102" s="8" t="inlineStr">
        <is>
          <t>PRO.ERY.VMS</t>
        </is>
      </c>
      <c r="F102" s="8" t="inlineStr">
        <is>
          <t>Procurement</t>
        </is>
      </c>
      <c r="G102" s="8" t="inlineStr">
        <is>
          <t>ERY</t>
        </is>
      </c>
      <c r="H102" s="8" t="inlineStr">
        <is>
          <t>MS4</t>
        </is>
      </c>
      <c r="I102" s="16" t="n">
        <v>0.2</v>
      </c>
      <c r="J102" s="10">
        <f>Station_BOQ!R7</f>
        <v/>
      </c>
      <c r="K102" s="9">
        <f>I102*62000000*J102</f>
        <v/>
      </c>
      <c r="L102" s="18" t="n">
        <v>0.2072115096900995</v>
      </c>
      <c r="M102" s="9">
        <f>ROUND(K102*L102,0)</f>
        <v/>
      </c>
      <c r="N102" s="9" t="n">
        <v>128120</v>
      </c>
      <c r="O102" s="9">
        <f>N102-M102</f>
        <v/>
      </c>
      <c r="P102" s="8" t="inlineStr">
        <is>
          <t>MS4 Material delivery 20% x station price share 4.99% | BOQ section share 27.6% of station equipment x 75% (manufacture)</t>
        </is>
      </c>
      <c r="Q102" s="8" t="inlineStr">
        <is>
          <t>Annex 3 A2 Video management and wall (SAR 350,866)</t>
        </is>
      </c>
      <c r="R102" s="9" t="n">
        <v>317</v>
      </c>
      <c r="S102" s="19">
        <f>R102/1000</f>
        <v/>
      </c>
      <c r="T102" s="20" t="n">
        <v>46509</v>
      </c>
      <c r="U102" s="20" t="n">
        <v>46574</v>
      </c>
      <c r="V102" s="8" t="n">
        <v>43</v>
      </c>
    </row>
    <row r="103">
      <c r="A103" s="8" t="inlineStr">
        <is>
          <t>A3</t>
        </is>
      </c>
      <c r="B103" s="8" t="inlineStr">
        <is>
          <t>A3 Access control and intercom</t>
        </is>
      </c>
      <c r="C103" s="8" t="inlineStr">
        <is>
          <t>ERY-P1030</t>
        </is>
      </c>
      <c r="D103" s="8" t="inlineStr">
        <is>
          <t>Manufacture access control and intercom equipment - Riyadh (Malaz)</t>
        </is>
      </c>
      <c r="E103" s="8" t="inlineStr">
        <is>
          <t>PRO.ERY.ACC</t>
        </is>
      </c>
      <c r="F103" s="8" t="inlineStr">
        <is>
          <t>Procurement</t>
        </is>
      </c>
      <c r="G103" s="8" t="inlineStr">
        <is>
          <t>ERY</t>
        </is>
      </c>
      <c r="H103" s="8" t="inlineStr">
        <is>
          <t>MS4</t>
        </is>
      </c>
      <c r="I103" s="16" t="n">
        <v>0.2</v>
      </c>
      <c r="J103" s="10">
        <f>Station_BOQ!R7</f>
        <v/>
      </c>
      <c r="K103" s="9">
        <f>I103*62000000*J103</f>
        <v/>
      </c>
      <c r="L103" s="18" t="n">
        <v>0.02603535083105242</v>
      </c>
      <c r="M103" s="9">
        <f>ROUND(K103*L103,0)</f>
        <v/>
      </c>
      <c r="N103" s="9" t="n">
        <v>16098</v>
      </c>
      <c r="O103" s="9">
        <f>N103-M103</f>
        <v/>
      </c>
      <c r="P103" s="8" t="inlineStr">
        <is>
          <t>MS4 Material delivery 20% x station price share 4.99% | BOQ section share 3.5% of station equipment x 75% (manufacture)</t>
        </is>
      </c>
      <c r="Q103" s="8" t="inlineStr">
        <is>
          <t>Annex 3 A3 Access control and intercom (SAR 44,085)</t>
        </is>
      </c>
      <c r="R103" s="9" t="n">
        <v>40</v>
      </c>
      <c r="S103" s="19">
        <f>R103/1000</f>
        <v/>
      </c>
      <c r="T103" s="20" t="n">
        <v>46509</v>
      </c>
      <c r="U103" s="20" t="n">
        <v>46574</v>
      </c>
      <c r="V103" s="8" t="n">
        <v>43</v>
      </c>
    </row>
    <row r="104">
      <c r="A104" s="8" t="inlineStr">
        <is>
          <t>A4, A5</t>
        </is>
      </c>
      <c r="B104" s="8" t="inlineStr">
        <is>
          <t>A4 UPS and A5 Poles, cabinets and network</t>
        </is>
      </c>
      <c r="C104" s="8" t="inlineStr">
        <is>
          <t>ERY-P1040</t>
        </is>
      </c>
      <c r="D104" s="8" t="inlineStr">
        <is>
          <t>Manufacture UPS, network switches and field cabinets - Riyadh (Malaz)</t>
        </is>
      </c>
      <c r="E104" s="8" t="inlineStr">
        <is>
          <t>PRO.ERY.UPN</t>
        </is>
      </c>
      <c r="F104" s="8" t="inlineStr">
        <is>
          <t>Procurement</t>
        </is>
      </c>
      <c r="G104" s="8" t="inlineStr">
        <is>
          <t>ERY</t>
        </is>
      </c>
      <c r="H104" s="8" t="inlineStr">
        <is>
          <t>MS4</t>
        </is>
      </c>
      <c r="I104" s="16" t="n">
        <v>0.2</v>
      </c>
      <c r="J104" s="10">
        <f>Station_BOQ!R7</f>
        <v/>
      </c>
      <c r="K104" s="9">
        <f>I104*62000000*J104</f>
        <v/>
      </c>
      <c r="L104" s="18" t="n">
        <v>0.3532539710037198</v>
      </c>
      <c r="M104" s="9">
        <f>ROUND(K104*L104,0)</f>
        <v/>
      </c>
      <c r="N104" s="9" t="n">
        <v>218418</v>
      </c>
      <c r="O104" s="9">
        <f>N104-M104</f>
        <v/>
      </c>
      <c r="P104" s="8" t="inlineStr">
        <is>
          <t>MS4 Material delivery 20% x station price share 4.99% | BOQ section share 47.1% of station equipment x 75% (manufacture)</t>
        </is>
      </c>
      <c r="Q104" s="8" t="inlineStr">
        <is>
          <t>Annex 3 A4 UPS + A5 poles, cabinets and network (SAR 598,156)</t>
        </is>
      </c>
      <c r="R104" s="9" t="n">
        <v>541</v>
      </c>
      <c r="S104" s="19">
        <f>R104/1000</f>
        <v/>
      </c>
      <c r="T104" s="20" t="n">
        <v>46509</v>
      </c>
      <c r="U104" s="20" t="n">
        <v>46574</v>
      </c>
      <c r="V104" s="8" t="n">
        <v>43</v>
      </c>
    </row>
    <row r="105">
      <c r="A105" s="8" t="inlineStr">
        <is>
          <t>SH-FAT</t>
        </is>
      </c>
      <c r="B105" s="8" t="inlineStr">
        <is>
          <t>Factory acceptance test (per railway, allocated)</t>
        </is>
      </c>
      <c r="C105" s="8" t="inlineStr">
        <is>
          <t>ERY-P1050</t>
        </is>
      </c>
      <c r="D105" s="8" t="inlineStr">
        <is>
          <t>Factory acceptance test at vendor premises - Riyadh (Malaz)</t>
        </is>
      </c>
      <c r="E105" s="8" t="inlineStr">
        <is>
          <t>PRO.ERY.LOG</t>
        </is>
      </c>
      <c r="F105" s="8" t="inlineStr">
        <is>
          <t>Procurement</t>
        </is>
      </c>
      <c r="G105" s="8" t="inlineStr">
        <is>
          <t>ERY</t>
        </is>
      </c>
      <c r="H105" s="8" t="inlineStr">
        <is>
          <t>MS4</t>
        </is>
      </c>
      <c r="I105" s="16" t="n">
        <v>0.2</v>
      </c>
      <c r="J105" s="10">
        <f>Station_BOQ!R7</f>
        <v/>
      </c>
      <c r="K105" s="9">
        <f>I105*62000000*J105</f>
        <v/>
      </c>
      <c r="L105" s="18" t="n">
        <v>0.05</v>
      </c>
      <c r="M105" s="9">
        <f>ROUND(K105*L105,0)</f>
        <v/>
      </c>
      <c r="N105" s="9" t="n">
        <v>30915</v>
      </c>
      <c r="O105" s="9">
        <f>N105-M105</f>
        <v/>
      </c>
      <c r="P105" s="8" t="inlineStr">
        <is>
          <t>MS4 Material delivery 20% x station price share 4.99% | Fixed key 5% (FAT)</t>
        </is>
      </c>
      <c r="Q105" s="8" t="inlineStr">
        <is>
          <t>Annex 3 Factory acceptance test (railway), allocated by hardware share</t>
        </is>
      </c>
      <c r="R105" s="9" t="n">
        <v>191</v>
      </c>
      <c r="S105" s="19">
        <f>R105/1000</f>
        <v/>
      </c>
      <c r="T105" s="20" t="n">
        <v>46575</v>
      </c>
      <c r="U105" s="20" t="n">
        <v>46588</v>
      </c>
      <c r="V105" s="8" t="n">
        <v>10</v>
      </c>
    </row>
    <row r="106">
      <c r="A106" s="8" t="inlineStr">
        <is>
          <t>A1-A5</t>
        </is>
      </c>
      <c r="B106" s="8" t="inlineStr">
        <is>
          <t>A1 to A5 equipment sections: logistics (shipping, customs, delivery) share</t>
        </is>
      </c>
      <c r="C106" s="8" t="inlineStr">
        <is>
          <t>ERY-P1060</t>
        </is>
      </c>
      <c r="D106" s="8" t="inlineStr">
        <is>
          <t>Shipping and customs clearance - Riyadh (Malaz)</t>
        </is>
      </c>
      <c r="E106" s="8" t="inlineStr">
        <is>
          <t>PRO.ERY.LOG</t>
        </is>
      </c>
      <c r="F106" s="8" t="inlineStr">
        <is>
          <t>Procurement</t>
        </is>
      </c>
      <c r="G106" s="8" t="inlineStr">
        <is>
          <t>ERY</t>
        </is>
      </c>
      <c r="H106" s="8" t="inlineStr">
        <is>
          <t>MS4</t>
        </is>
      </c>
      <c r="I106" s="16" t="n">
        <v>0.2</v>
      </c>
      <c r="J106" s="10">
        <f>Station_BOQ!R7</f>
        <v/>
      </c>
      <c r="K106" s="9">
        <f>I106*62000000*J106</f>
        <v/>
      </c>
      <c r="L106" s="18" t="n">
        <v>0.15</v>
      </c>
      <c r="M106" s="9">
        <f>ROUND(K106*L106,0)</f>
        <v/>
      </c>
      <c r="N106" s="9" t="n">
        <v>92746</v>
      </c>
      <c r="O106" s="9">
        <f>N106-M106</f>
        <v/>
      </c>
      <c r="P106" s="8" t="inlineStr">
        <is>
          <t>MS4 Material delivery 20% x station price share 4.99% | Fixed key 15% (shipping and customs)</t>
        </is>
      </c>
      <c r="Q106" s="8" t="inlineStr">
        <is>
          <t>Annex 3 equipment sections A1-A5 (logistics share)</t>
        </is>
      </c>
      <c r="R106" s="9" t="n">
        <v>383</v>
      </c>
      <c r="S106" s="19">
        <f>R106/1000</f>
        <v/>
      </c>
      <c r="T106" s="20" t="n">
        <v>46589</v>
      </c>
      <c r="U106" s="20" t="n">
        <v>46616</v>
      </c>
      <c r="V106" s="8" t="n">
        <v>20</v>
      </c>
    </row>
    <row r="107">
      <c r="A107" s="8" t="inlineStr">
        <is>
          <t>SH-SPR</t>
        </is>
      </c>
      <c r="B107" s="8" t="inlineStr">
        <is>
          <t>Commissioning spares (per railway, allocated)</t>
        </is>
      </c>
      <c r="C107" s="8" t="inlineStr">
        <is>
          <t>ERY-P1070</t>
        </is>
      </c>
      <c r="D107" s="8" t="inlineStr">
        <is>
          <t>Delivery to station and receiving inspection - Riyadh (Malaz)</t>
        </is>
      </c>
      <c r="E107" s="8" t="inlineStr">
        <is>
          <t>PRO.ERY.LOG</t>
        </is>
      </c>
      <c r="F107" s="8" t="inlineStr">
        <is>
          <t>Procurement</t>
        </is>
      </c>
      <c r="G107" s="8" t="inlineStr">
        <is>
          <t>ERY</t>
        </is>
      </c>
      <c r="H107" s="8" t="inlineStr">
        <is>
          <t>MS4</t>
        </is>
      </c>
      <c r="I107" s="16" t="n">
        <v>0.2</v>
      </c>
      <c r="J107" s="10">
        <f>Station_BOQ!R7</f>
        <v/>
      </c>
      <c r="K107" s="9">
        <f>I107*62000000*J107</f>
        <v/>
      </c>
      <c r="L107" s="18" t="n">
        <v>0.05</v>
      </c>
      <c r="M107" s="9">
        <f>ROUND(K107*L107,0)</f>
        <v/>
      </c>
      <c r="N107" s="9" t="n">
        <v>30915</v>
      </c>
      <c r="O107" s="9">
        <f>N107-M107</f>
        <v/>
      </c>
      <c r="P107" s="8" t="inlineStr">
        <is>
          <t>MS4 Material delivery 20% x station price share 4.99% | Fixed key 5% (delivery, receiving) incl. commissioning spares</t>
        </is>
      </c>
      <c r="Q107" s="8" t="inlineStr">
        <is>
          <t>Annex 3 Commissioning spares (railway), allocated by hardware share</t>
        </is>
      </c>
      <c r="R107" s="9" t="n">
        <v>191</v>
      </c>
      <c r="S107" s="19">
        <f>R107/1000</f>
        <v/>
      </c>
      <c r="T107" s="20" t="n">
        <v>46617</v>
      </c>
      <c r="U107" s="20" t="n">
        <v>46623</v>
      </c>
      <c r="V107" s="8" t="n">
        <v>5</v>
      </c>
    </row>
    <row r="108">
      <c r="A108" s="8" t="inlineStr">
        <is>
          <t>A6</t>
        </is>
      </c>
      <c r="B108" s="8" t="inlineStr">
        <is>
          <t>A6 Civil works</t>
        </is>
      </c>
      <c r="C108" s="8" t="inlineStr">
        <is>
          <t>ERY-C1010</t>
        </is>
      </c>
      <c r="D108" s="8" t="inlineStr">
        <is>
          <t>Civil: platform trenches and duct banks - Riyadh (Malaz)</t>
        </is>
      </c>
      <c r="E108" s="8" t="inlineStr">
        <is>
          <t>CON.ERY.CIV</t>
        </is>
      </c>
      <c r="F108" s="8" t="inlineStr">
        <is>
          <t>Construction</t>
        </is>
      </c>
      <c r="G108" s="8" t="inlineStr">
        <is>
          <t>ERY</t>
        </is>
      </c>
      <c r="H108" s="8" t="inlineStr">
        <is>
          <t>MS5</t>
        </is>
      </c>
      <c r="I108" s="16" t="n">
        <v>0.2</v>
      </c>
      <c r="J108" s="10">
        <f>Station_BOQ!R7</f>
        <v/>
      </c>
      <c r="K108" s="9">
        <f>I108*62000000*J108</f>
        <v/>
      </c>
      <c r="L108" s="18" t="n">
        <v>0.1779672793276738</v>
      </c>
      <c r="M108" s="9">
        <f>ROUND(K108*L108,0)</f>
        <v/>
      </c>
      <c r="N108" s="9" t="n">
        <v>110038</v>
      </c>
      <c r="O108" s="9">
        <f>N108-M108</f>
        <v/>
      </c>
      <c r="P108" s="8" t="inlineStr">
        <is>
          <t>MS5 Installation 20% x station price share 4.99% | BOQ civil share 35.6% x 50% (trenches and duct banks)</t>
        </is>
      </c>
      <c r="Q108" s="8" t="inlineStr">
        <is>
          <t>Annex 3 A6 Civil works (SAR 701,825)</t>
        </is>
      </c>
      <c r="R108" s="9" t="n">
        <v>311</v>
      </c>
      <c r="S108" s="19">
        <f>R108/1000</f>
        <v/>
      </c>
      <c r="T108" s="20" t="n">
        <v>46537</v>
      </c>
      <c r="U108" s="20" t="n">
        <v>46611</v>
      </c>
      <c r="V108" s="8" t="n">
        <v>55</v>
      </c>
    </row>
    <row r="109">
      <c r="A109" s="8" t="inlineStr">
        <is>
          <t>A6</t>
        </is>
      </c>
      <c r="B109" s="8" t="inlineStr">
        <is>
          <t>A6 Civil works</t>
        </is>
      </c>
      <c r="C109" s="8" t="inlineStr">
        <is>
          <t>ERY-C1020</t>
        </is>
      </c>
      <c r="D109" s="8" t="inlineStr">
        <is>
          <t>Civil: camera and ALPR pole foundations and poles - Riyadh (Malaz)</t>
        </is>
      </c>
      <c r="E109" s="8" t="inlineStr">
        <is>
          <t>CON.ERY.CIV</t>
        </is>
      </c>
      <c r="F109" s="8" t="inlineStr">
        <is>
          <t>Construction</t>
        </is>
      </c>
      <c r="G109" s="8" t="inlineStr">
        <is>
          <t>ERY</t>
        </is>
      </c>
      <c r="H109" s="8" t="inlineStr">
        <is>
          <t>MS5</t>
        </is>
      </c>
      <c r="I109" s="16" t="n">
        <v>0.2</v>
      </c>
      <c r="J109" s="10">
        <f>Station_BOQ!R7</f>
        <v/>
      </c>
      <c r="K109" s="9">
        <f>I109*62000000*J109</f>
        <v/>
      </c>
      <c r="L109" s="18" t="n">
        <v>0.1423738234621391</v>
      </c>
      <c r="M109" s="9">
        <f>ROUND(K109*L109,0)</f>
        <v/>
      </c>
      <c r="N109" s="9" t="n">
        <v>88030</v>
      </c>
      <c r="O109" s="9">
        <f>N109-M109</f>
        <v/>
      </c>
      <c r="P109" s="8" t="inlineStr">
        <is>
          <t>MS5 Installation 20% x station price share 4.99% | BOQ civil share 35.6% x 40% (poles)</t>
        </is>
      </c>
      <c r="Q109" s="8" t="inlineStr">
        <is>
          <t>Annex 3 A6 Civil works (SAR 701,825)</t>
        </is>
      </c>
      <c r="R109" s="9" t="n">
        <v>239</v>
      </c>
      <c r="S109" s="19">
        <f>R109/1000</f>
        <v/>
      </c>
      <c r="T109" s="20" t="n">
        <v>46586</v>
      </c>
      <c r="U109" s="20" t="n">
        <v>46644</v>
      </c>
      <c r="V109" s="8" t="n">
        <v>43</v>
      </c>
    </row>
    <row r="110">
      <c r="A110" s="8" t="inlineStr">
        <is>
          <t>A1-A5</t>
        </is>
      </c>
      <c r="B110" s="8" t="inlineStr">
        <is>
          <t>A1 to A5 equipment sections: installation share (works included in unit prices)</t>
        </is>
      </c>
      <c r="C110" s="8" t="inlineStr">
        <is>
          <t>ERY-C2010</t>
        </is>
      </c>
      <c r="D110" s="8" t="inlineStr">
        <is>
          <t>Install UPS, network switches and field cabinets - Riyadh (Malaz)</t>
        </is>
      </c>
      <c r="E110" s="8" t="inlineStr">
        <is>
          <t>CON.ERY.INS</t>
        </is>
      </c>
      <c r="F110" s="8" t="inlineStr">
        <is>
          <t>Construction</t>
        </is>
      </c>
      <c r="G110" s="8" t="inlineStr">
        <is>
          <t>ERY</t>
        </is>
      </c>
      <c r="H110" s="8" t="inlineStr">
        <is>
          <t>MS5</t>
        </is>
      </c>
      <c r="I110" s="16" t="n">
        <v>0.2</v>
      </c>
      <c r="J110" s="10">
        <f>Station_BOQ!R7</f>
        <v/>
      </c>
      <c r="K110" s="9">
        <f>I110*62000000*J110</f>
        <v/>
      </c>
      <c r="L110" s="18" t="n">
        <v>0.1288130882689305</v>
      </c>
      <c r="M110" s="9">
        <f>ROUND(K110*L110,0)</f>
        <v/>
      </c>
      <c r="N110" s="9" t="n">
        <v>79646</v>
      </c>
      <c r="O110" s="9">
        <f>N110-M110</f>
        <v/>
      </c>
      <c r="P110" s="8" t="inlineStr">
        <is>
          <t>MS5 Installation 20% x station price share 4.99% | Installation key 20% x (1 - civil share 35.6%)</t>
        </is>
      </c>
      <c r="Q110" s="8" t="inlineStr">
        <is>
          <t>Annex 3 equipment sections A1-A5 (installation share)</t>
        </is>
      </c>
      <c r="R110" s="9" t="n">
        <v>144</v>
      </c>
      <c r="S110" s="19">
        <f>R110/1000</f>
        <v/>
      </c>
      <c r="T110" s="20" t="n">
        <v>46624</v>
      </c>
      <c r="U110" s="20" t="n">
        <v>46638</v>
      </c>
      <c r="V110" s="8" t="n">
        <v>11</v>
      </c>
    </row>
    <row r="111">
      <c r="A111" s="8" t="inlineStr">
        <is>
          <t>A1-A5</t>
        </is>
      </c>
      <c r="B111" s="8" t="inlineStr">
        <is>
          <t>A1 to A5 equipment sections: installation share (works included in unit prices)</t>
        </is>
      </c>
      <c r="C111" s="8" t="inlineStr">
        <is>
          <t>ERY-C2020</t>
        </is>
      </c>
      <c r="D111" s="8" t="inlineStr">
        <is>
          <t>Cabling and termination (power, fibre, data) - Riyadh (Malaz)</t>
        </is>
      </c>
      <c r="E111" s="8" t="inlineStr">
        <is>
          <t>CON.ERY.INS</t>
        </is>
      </c>
      <c r="F111" s="8" t="inlineStr">
        <is>
          <t>Construction</t>
        </is>
      </c>
      <c r="G111" s="8" t="inlineStr">
        <is>
          <t>ERY</t>
        </is>
      </c>
      <c r="H111" s="8" t="inlineStr">
        <is>
          <t>MS5</t>
        </is>
      </c>
      <c r="I111" s="16" t="n">
        <v>0.2</v>
      </c>
      <c r="J111" s="10">
        <f>Station_BOQ!R7</f>
        <v/>
      </c>
      <c r="K111" s="9">
        <f>I111*62000000*J111</f>
        <v/>
      </c>
      <c r="L111" s="18" t="n">
        <v>0.1932196324033957</v>
      </c>
      <c r="M111" s="9">
        <f>ROUND(K111*L111,0)</f>
        <v/>
      </c>
      <c r="N111" s="9" t="n">
        <v>119468</v>
      </c>
      <c r="O111" s="9">
        <f>N111-M111</f>
        <v/>
      </c>
      <c r="P111" s="8" t="inlineStr">
        <is>
          <t>MS5 Installation 20% x station price share 4.99% | Installation key 30% x (1 - civil share 35.6%)</t>
        </is>
      </c>
      <c r="Q111" s="8" t="inlineStr">
        <is>
          <t>Annex 3 equipment sections A1-A5 (installation share)</t>
        </is>
      </c>
      <c r="R111" s="9" t="n">
        <v>287</v>
      </c>
      <c r="S111" s="19">
        <f>R111/1000</f>
        <v/>
      </c>
      <c r="T111" s="20" t="n">
        <v>46630</v>
      </c>
      <c r="U111" s="20" t="n">
        <v>46657</v>
      </c>
      <c r="V111" s="8" t="n">
        <v>19</v>
      </c>
    </row>
    <row r="112">
      <c r="A112" s="8" t="inlineStr">
        <is>
          <t>A1-A5</t>
        </is>
      </c>
      <c r="B112" s="8" t="inlineStr">
        <is>
          <t>A1 to A5 equipment sections: installation share (works included in unit prices)</t>
        </is>
      </c>
      <c r="C112" s="8" t="inlineStr">
        <is>
          <t>ERY-C2030</t>
        </is>
      </c>
      <c r="D112" s="8" t="inlineStr">
        <is>
          <t>Install and aim CCTV cameras - Riyadh (Malaz)</t>
        </is>
      </c>
      <c r="E112" s="8" t="inlineStr">
        <is>
          <t>CON.ERY.INS</t>
        </is>
      </c>
      <c r="F112" s="8" t="inlineStr">
        <is>
          <t>Construction</t>
        </is>
      </c>
      <c r="G112" s="8" t="inlineStr">
        <is>
          <t>ERY</t>
        </is>
      </c>
      <c r="H112" s="8" t="inlineStr">
        <is>
          <t>MS5</t>
        </is>
      </c>
      <c r="I112" s="16" t="n">
        <v>0.2</v>
      </c>
      <c r="J112" s="10">
        <f>Station_BOQ!R7</f>
        <v/>
      </c>
      <c r="K112" s="9">
        <f>I112*62000000*J112</f>
        <v/>
      </c>
      <c r="L112" s="18" t="n">
        <v>0.1610163603361631</v>
      </c>
      <c r="M112" s="9">
        <f>ROUND(K112*L112,0)</f>
        <v/>
      </c>
      <c r="N112" s="9" t="n">
        <v>99557</v>
      </c>
      <c r="O112" s="9">
        <f>N112-M112</f>
        <v/>
      </c>
      <c r="P112" s="8" t="inlineStr">
        <is>
          <t>MS5 Installation 20% x station price share 4.99% | Installation key 25% x (1 - civil share 35.6%)</t>
        </is>
      </c>
      <c r="Q112" s="8" t="inlineStr">
        <is>
          <t>Annex 3 equipment sections A1-A5 (installation share)</t>
        </is>
      </c>
      <c r="R112" s="9" t="n">
        <v>239</v>
      </c>
      <c r="S112" s="19">
        <f>R112/1000</f>
        <v/>
      </c>
      <c r="T112" s="20" t="n">
        <v>46658</v>
      </c>
      <c r="U112" s="20" t="n">
        <v>46678</v>
      </c>
      <c r="V112" s="8" t="n">
        <v>15</v>
      </c>
    </row>
    <row r="113">
      <c r="A113" s="8" t="inlineStr">
        <is>
          <t>A1-A5</t>
        </is>
      </c>
      <c r="B113" s="8" t="inlineStr">
        <is>
          <t>A1 to A5 equipment sections: installation share (works included in unit prices)</t>
        </is>
      </c>
      <c r="C113" s="8" t="inlineStr">
        <is>
          <t>ERY-C2040</t>
        </is>
      </c>
      <c r="D113" s="8" t="inlineStr">
        <is>
          <t>Install video management, video wall and control-room equipment - Riyadh (Malaz)</t>
        </is>
      </c>
      <c r="E113" s="8" t="inlineStr">
        <is>
          <t>CON.ERY.INS</t>
        </is>
      </c>
      <c r="F113" s="8" t="inlineStr">
        <is>
          <t>Construction</t>
        </is>
      </c>
      <c r="G113" s="8" t="inlineStr">
        <is>
          <t>ERY</t>
        </is>
      </c>
      <c r="H113" s="8" t="inlineStr">
        <is>
          <t>MS5</t>
        </is>
      </c>
      <c r="I113" s="16" t="n">
        <v>0.2</v>
      </c>
      <c r="J113" s="10">
        <f>Station_BOQ!R7</f>
        <v/>
      </c>
      <c r="K113" s="9">
        <f>I113*62000000*J113</f>
        <v/>
      </c>
      <c r="L113" s="18" t="n">
        <v>0.09660981620169785</v>
      </c>
      <c r="M113" s="9">
        <f>ROUND(K113*L113,0)</f>
        <v/>
      </c>
      <c r="N113" s="9" t="n">
        <v>59734</v>
      </c>
      <c r="O113" s="9">
        <f>N113-M113</f>
        <v/>
      </c>
      <c r="P113" s="8" t="inlineStr">
        <is>
          <t>MS5 Installation 20% x station price share 4.99% | Installation key 15% x (1 - civil share 35.6%)</t>
        </is>
      </c>
      <c r="Q113" s="8" t="inlineStr">
        <is>
          <t>Annex 3 equipment sections A1-A5 (installation share)</t>
        </is>
      </c>
      <c r="R113" s="9" t="n">
        <v>144</v>
      </c>
      <c r="S113" s="19">
        <f>R113/1000</f>
        <v/>
      </c>
      <c r="T113" s="20" t="n">
        <v>46639</v>
      </c>
      <c r="U113" s="20" t="n">
        <v>46658</v>
      </c>
      <c r="V113" s="8" t="n">
        <v>13</v>
      </c>
    </row>
    <row r="114">
      <c r="A114" s="8" t="inlineStr">
        <is>
          <t>A1-A5</t>
        </is>
      </c>
      <c r="B114" s="8" t="inlineStr">
        <is>
          <t>A1 to A5 equipment sections: installation share (works included in unit prices)</t>
        </is>
      </c>
      <c r="C114" s="8" t="inlineStr">
        <is>
          <t>ERY-C2050</t>
        </is>
      </c>
      <c r="D114" s="8" t="inlineStr">
        <is>
          <t>Install access control and intercom - Riyadh (Malaz)</t>
        </is>
      </c>
      <c r="E114" s="8" t="inlineStr">
        <is>
          <t>CON.ERY.INS</t>
        </is>
      </c>
      <c r="F114" s="8" t="inlineStr">
        <is>
          <t>Construction</t>
        </is>
      </c>
      <c r="G114" s="8" t="inlineStr">
        <is>
          <t>ERY</t>
        </is>
      </c>
      <c r="H114" s="8" t="inlineStr">
        <is>
          <t>MS5</t>
        </is>
      </c>
      <c r="I114" s="16" t="n">
        <v>0.2</v>
      </c>
      <c r="J114" s="10">
        <f>Station_BOQ!R7</f>
        <v/>
      </c>
      <c r="K114" s="9">
        <f>I114*62000000*J114</f>
        <v/>
      </c>
      <c r="L114" s="18" t="n">
        <v>0.06440654413446524</v>
      </c>
      <c r="M114" s="9">
        <f>ROUND(K114*L114,0)</f>
        <v/>
      </c>
      <c r="N114" s="9" t="n">
        <v>39823</v>
      </c>
      <c r="O114" s="9">
        <f>N114-M114</f>
        <v/>
      </c>
      <c r="P114" s="8" t="inlineStr">
        <is>
          <t>MS5 Installation 20% x station price share 4.99% | Installation key 10% x (1 - civil share 35.6%)</t>
        </is>
      </c>
      <c r="Q114" s="8" t="inlineStr">
        <is>
          <t>Annex 3 equipment sections A1-A5 (installation share)</t>
        </is>
      </c>
      <c r="R114" s="9" t="n">
        <v>96</v>
      </c>
      <c r="S114" s="19">
        <f>R114/1000</f>
        <v/>
      </c>
      <c r="T114" s="20" t="n">
        <v>46645</v>
      </c>
      <c r="U114" s="20" t="n">
        <v>46660</v>
      </c>
      <c r="V114" s="8" t="n">
        <v>11</v>
      </c>
    </row>
    <row r="115">
      <c r="A115" s="8" t="inlineStr">
        <is>
          <t>A1-A5</t>
        </is>
      </c>
      <c r="B115" s="8" t="inlineStr">
        <is>
          <t>A1 to A5 equipment sections: testing and commissioning share</t>
        </is>
      </c>
      <c r="C115" s="8" t="inlineStr">
        <is>
          <t>ERY-T1010</t>
        </is>
      </c>
      <c r="D115" s="8" t="inlineStr">
        <is>
          <t>Pre-commissioning and loop checks - Riyadh (Malaz)</t>
        </is>
      </c>
      <c r="E115" s="8" t="inlineStr">
        <is>
          <t>COM.ERY.TST</t>
        </is>
      </c>
      <c r="F115" s="8" t="inlineStr">
        <is>
          <t>Commissioning and handover</t>
        </is>
      </c>
      <c r="G115" s="8" t="inlineStr">
        <is>
          <t>ERY</t>
        </is>
      </c>
      <c r="H115" s="8" t="inlineStr">
        <is>
          <t>MS6</t>
        </is>
      </c>
      <c r="I115" s="16" t="n">
        <v>0.1</v>
      </c>
      <c r="J115" s="10">
        <f>Station_BOQ!R7</f>
        <v/>
      </c>
      <c r="K115" s="9">
        <f>I115*62000000*J115</f>
        <v/>
      </c>
      <c r="L115" s="18" t="n">
        <v>0.4</v>
      </c>
      <c r="M115" s="9">
        <f>ROUND(K115*L115,0)</f>
        <v/>
      </c>
      <c r="N115" s="9" t="n">
        <v>123661</v>
      </c>
      <c r="O115" s="9">
        <f>N115-M115</f>
        <v/>
      </c>
      <c r="P115" s="8" t="inlineStr">
        <is>
          <t>MS6 Testing and commissioning (SAT) 10% x station price share 4.99% | Fixed key 40% of SAT milestone</t>
        </is>
      </c>
      <c r="Q115" s="8" t="inlineStr">
        <is>
          <t>Annex 3 equipment sections A1-A5 (testing share)</t>
        </is>
      </c>
      <c r="R115" s="9" t="n">
        <v>144</v>
      </c>
      <c r="S115" s="19">
        <f>R115/1000</f>
        <v/>
      </c>
      <c r="T115" s="20" t="n">
        <v>46679</v>
      </c>
      <c r="U115" s="20" t="n">
        <v>46685</v>
      </c>
      <c r="V115" s="8" t="n">
        <v>5</v>
      </c>
    </row>
    <row r="116">
      <c r="A116" s="8" t="inlineStr">
        <is>
          <t>A1-A5</t>
        </is>
      </c>
      <c r="B116" s="8" t="inlineStr">
        <is>
          <t>A1 to A5 equipment sections: testing and commissioning share</t>
        </is>
      </c>
      <c r="C116" s="8" t="inlineStr">
        <is>
          <t>ERY-T1020</t>
        </is>
      </c>
      <c r="D116" s="8" t="inlineStr">
        <is>
          <t>Site acceptance test (SAT) and commissioning - Riyadh (Malaz)</t>
        </is>
      </c>
      <c r="E116" s="8" t="inlineStr">
        <is>
          <t>COM.ERY.TST</t>
        </is>
      </c>
      <c r="F116" s="8" t="inlineStr">
        <is>
          <t>Commissioning and handover</t>
        </is>
      </c>
      <c r="G116" s="8" t="inlineStr">
        <is>
          <t>ERY</t>
        </is>
      </c>
      <c r="H116" s="8" t="inlineStr">
        <is>
          <t>MS6</t>
        </is>
      </c>
      <c r="I116" s="16" t="n">
        <v>0.1</v>
      </c>
      <c r="J116" s="10">
        <f>Station_BOQ!R7</f>
        <v/>
      </c>
      <c r="K116" s="9">
        <f>I116*62000000*J116</f>
        <v/>
      </c>
      <c r="L116" s="18" t="n">
        <v>0.6</v>
      </c>
      <c r="M116" s="9">
        <f>ROUND(K116*L116,0)</f>
        <v/>
      </c>
      <c r="N116" s="9" t="n">
        <v>185491</v>
      </c>
      <c r="O116" s="9">
        <f>N116-M116</f>
        <v/>
      </c>
      <c r="P116" s="8" t="inlineStr">
        <is>
          <t>MS6 Testing and commissioning (SAT) 10% x station price share 4.99% | Fixed key 60% of SAT milestone</t>
        </is>
      </c>
      <c r="Q116" s="8" t="inlineStr">
        <is>
          <t>Annex 3 equipment sections A1-A5 (testing share)</t>
        </is>
      </c>
      <c r="R116" s="9" t="n">
        <v>191</v>
      </c>
      <c r="S116" s="19">
        <f>R116/1000</f>
        <v/>
      </c>
      <c r="T116" s="20" t="n">
        <v>46686</v>
      </c>
      <c r="U116" s="20" t="n">
        <v>46694</v>
      </c>
      <c r="V116" s="8" t="n">
        <v>7</v>
      </c>
    </row>
    <row r="117">
      <c r="A117" s="8" t="inlineStr">
        <is>
          <t>SH-TRN</t>
        </is>
      </c>
      <c r="B117" s="8" t="inlineStr">
        <is>
          <t>Training (per railway, allocated)</t>
        </is>
      </c>
      <c r="C117" s="8" t="inlineStr">
        <is>
          <t>ERY-T2010</t>
        </is>
      </c>
      <c r="D117" s="8" t="inlineStr">
        <is>
          <t>Operator and maintenance training - Riyadh (Malaz)</t>
        </is>
      </c>
      <c r="E117" s="8" t="inlineStr">
        <is>
          <t>COM.ERY.TRN</t>
        </is>
      </c>
      <c r="F117" s="8" t="inlineStr">
        <is>
          <t>Commissioning and handover</t>
        </is>
      </c>
      <c r="G117" s="8" t="inlineStr">
        <is>
          <t>ERY</t>
        </is>
      </c>
      <c r="H117" s="8" t="inlineStr">
        <is>
          <t>MS7</t>
        </is>
      </c>
      <c r="I117" s="16" t="n">
        <v>0.1</v>
      </c>
      <c r="J117" s="10">
        <f>Station_BOQ!R7</f>
        <v/>
      </c>
      <c r="K117" s="9">
        <f>I117*62000000*J117</f>
        <v/>
      </c>
      <c r="L117" s="18" t="n">
        <v>0.15</v>
      </c>
      <c r="M117" s="9">
        <f>ROUND(K117*L117,0)</f>
        <v/>
      </c>
      <c r="N117" s="9" t="n">
        <v>46373</v>
      </c>
      <c r="O117" s="9">
        <f>N117-M117</f>
        <v/>
      </c>
      <c r="P117" s="8" t="inlineStr">
        <is>
          <t>MS7 Final acceptance and handover 10% x station price share 4.99% | Fixed key 15%</t>
        </is>
      </c>
      <c r="Q117" s="8" t="inlineStr">
        <is>
          <t>Annex 3 Training (railway), allocated by hardware share</t>
        </is>
      </c>
      <c r="R117" s="9" t="n">
        <v>96</v>
      </c>
      <c r="S117" s="19">
        <f>R117/1000</f>
        <v/>
      </c>
      <c r="T117" s="20" t="n">
        <v>46695</v>
      </c>
      <c r="U117" s="20" t="n">
        <v>46708</v>
      </c>
      <c r="V117" s="8" t="n">
        <v>10</v>
      </c>
    </row>
    <row r="118">
      <c r="A118" s="8" t="inlineStr">
        <is>
          <t>A1-A5</t>
        </is>
      </c>
      <c r="B118" s="8" t="inlineStr">
        <is>
          <t>A1 to A5 equipment sections: trial operation share</t>
        </is>
      </c>
      <c r="C118" s="8" t="inlineStr">
        <is>
          <t>ERY-T2020</t>
        </is>
      </c>
      <c r="D118" s="8" t="inlineStr">
        <is>
          <t>Trial operation (maximum 45 days) - Riyadh (Malaz)</t>
        </is>
      </c>
      <c r="E118" s="8" t="inlineStr">
        <is>
          <t>COM.ERY.TOA</t>
        </is>
      </c>
      <c r="F118" s="8" t="inlineStr">
        <is>
          <t>Commissioning and handover</t>
        </is>
      </c>
      <c r="G118" s="8" t="inlineStr">
        <is>
          <t>ERY</t>
        </is>
      </c>
      <c r="H118" s="8" t="inlineStr">
        <is>
          <t>MS7</t>
        </is>
      </c>
      <c r="I118" s="16" t="n">
        <v>0.1</v>
      </c>
      <c r="J118" s="10">
        <f>Station_BOQ!R7</f>
        <v/>
      </c>
      <c r="K118" s="9">
        <f>I118*62000000*J118</f>
        <v/>
      </c>
      <c r="L118" s="18" t="n">
        <v>0.35</v>
      </c>
      <c r="M118" s="9">
        <f>ROUND(K118*L118,0)</f>
        <v/>
      </c>
      <c r="N118" s="9" t="n">
        <v>108203</v>
      </c>
      <c r="O118" s="9">
        <f>N118-M118</f>
        <v/>
      </c>
      <c r="P118" s="8" t="inlineStr">
        <is>
          <t>MS7 Final acceptance and handover 10% x station price share 4.99% | Fixed key 35%</t>
        </is>
      </c>
      <c r="Q118" s="8" t="inlineStr">
        <is>
          <t>Annex 3 equipment sections A1-A5 (trial operation share)</t>
        </is>
      </c>
      <c r="R118" s="9" t="n">
        <v>144</v>
      </c>
      <c r="S118" s="19">
        <f>R118/1000</f>
        <v/>
      </c>
      <c r="T118" s="20" t="n">
        <v>46695</v>
      </c>
      <c r="U118" s="20" t="n">
        <v>46736</v>
      </c>
      <c r="V118" s="8" t="n">
        <v>30</v>
      </c>
    </row>
    <row r="119">
      <c r="A119" s="8" t="inlineStr">
        <is>
          <t>A1-A5</t>
        </is>
      </c>
      <c r="B119" s="8" t="inlineStr">
        <is>
          <t>A1 to A5 equipment sections: handover share</t>
        </is>
      </c>
      <c r="C119" s="8" t="inlineStr">
        <is>
          <t>ERY-T3010</t>
        </is>
      </c>
      <c r="D119" s="8" t="inlineStr">
        <is>
          <t>Taking-over application, SAR review and handover - Riyadh (Malaz)</t>
        </is>
      </c>
      <c r="E119" s="8" t="inlineStr">
        <is>
          <t>COM.ERY.TOA</t>
        </is>
      </c>
      <c r="F119" s="8" t="inlineStr">
        <is>
          <t>Commissioning and handover</t>
        </is>
      </c>
      <c r="G119" s="8" t="inlineStr">
        <is>
          <t>ERY</t>
        </is>
      </c>
      <c r="H119" s="8" t="inlineStr">
        <is>
          <t>MS7</t>
        </is>
      </c>
      <c r="I119" s="16" t="n">
        <v>0.1</v>
      </c>
      <c r="J119" s="10">
        <f>Station_BOQ!R7</f>
        <v/>
      </c>
      <c r="K119" s="9">
        <f>I119*62000000*J119</f>
        <v/>
      </c>
      <c r="L119" s="18" t="n">
        <v>0.3</v>
      </c>
      <c r="M119" s="9">
        <f>ROUND(K119*L119,0)</f>
        <v/>
      </c>
      <c r="N119" s="9" t="n">
        <v>92746</v>
      </c>
      <c r="O119" s="9">
        <f>N119-M119</f>
        <v/>
      </c>
      <c r="P119" s="8" t="inlineStr">
        <is>
          <t>MS7 Final acceptance and handover 10% x station price share 4.99% | Fixed key 30%</t>
        </is>
      </c>
      <c r="Q119" s="8" t="inlineStr">
        <is>
          <t>Annex 3 equipment sections A1-A5 (handover share)</t>
        </is>
      </c>
      <c r="R119" s="9" t="n">
        <v>144</v>
      </c>
      <c r="S119" s="19">
        <f>R119/1000</f>
        <v/>
      </c>
      <c r="T119" s="20" t="n">
        <v>46737</v>
      </c>
      <c r="U119" s="20" t="n">
        <v>46768</v>
      </c>
      <c r="V119" s="8" t="n">
        <v>22</v>
      </c>
    </row>
    <row r="120">
      <c r="A120" s="8" t="inlineStr">
        <is>
          <t>SH-DES</t>
        </is>
      </c>
      <c r="B120" s="8" t="inlineStr">
        <is>
          <t>Design and engineering package (per railway, allocated to the station)</t>
        </is>
      </c>
      <c r="C120" s="8" t="inlineStr">
        <is>
          <t>HJD-E1010</t>
        </is>
      </c>
      <c r="D120" s="8" t="inlineStr">
        <is>
          <t>Survey: submittal of site survey and as-found report - Jeddah</t>
        </is>
      </c>
      <c r="E120" s="8" t="inlineStr">
        <is>
          <t>ENG.HJD.SRV.SUB</t>
        </is>
      </c>
      <c r="F120" s="8" t="inlineStr">
        <is>
          <t>Engineering</t>
        </is>
      </c>
      <c r="G120" s="8" t="inlineStr">
        <is>
          <t>HJD</t>
        </is>
      </c>
      <c r="H120" s="8" t="inlineStr">
        <is>
          <t>MS2</t>
        </is>
      </c>
      <c r="I120" s="16" t="n">
        <v>0.1</v>
      </c>
      <c r="J120" s="10">
        <f>Station_BOQ!R8</f>
        <v/>
      </c>
      <c r="K120" s="9">
        <f>I120*62000000*J120</f>
        <v/>
      </c>
      <c r="L120" s="18" t="n">
        <v>0.06900000000000001</v>
      </c>
      <c r="M120" s="9">
        <f>ROUND(K120*L120,0)</f>
        <v/>
      </c>
      <c r="N120" s="9" t="n">
        <v>65901</v>
      </c>
      <c r="O120" s="9">
        <f>N120-M120</f>
        <v/>
      </c>
      <c r="P120" s="8" t="inlineStr">
        <is>
          <t>MS2 Engineering submittal 10% x station price share 15.40% | Design stage key 6.9% of the engineering-submittal milestone</t>
        </is>
      </c>
      <c r="Q120" s="8" t="inlineStr">
        <is>
          <t>Annex 3 Design and engineering package (railway) allocated by station hardware share</t>
        </is>
      </c>
      <c r="R120" s="9" t="n">
        <v>117</v>
      </c>
      <c r="S120" s="19">
        <f>R120/1000</f>
        <v/>
      </c>
      <c r="T120" s="20" t="n">
        <v>46443</v>
      </c>
      <c r="U120" s="20" t="n">
        <v>46478</v>
      </c>
      <c r="V120" s="8" t="n">
        <v>21</v>
      </c>
    </row>
    <row r="121">
      <c r="A121" s="8" t="inlineStr">
        <is>
          <t>SH-DES</t>
        </is>
      </c>
      <c r="B121" s="8" t="inlineStr">
        <is>
          <t>Design and engineering package (per railway, allocated to the station)</t>
        </is>
      </c>
      <c r="C121" s="8" t="inlineStr">
        <is>
          <t>HJD-E1020</t>
        </is>
      </c>
      <c r="D121" s="8" t="inlineStr">
        <is>
          <t>Survey: SAR approval of survey report - Jeddah</t>
        </is>
      </c>
      <c r="E121" s="8" t="inlineStr">
        <is>
          <t>ENG.HJD.SRV.APR</t>
        </is>
      </c>
      <c r="F121" s="8" t="inlineStr">
        <is>
          <t>Engineering</t>
        </is>
      </c>
      <c r="G121" s="8" t="inlineStr">
        <is>
          <t>HJD</t>
        </is>
      </c>
      <c r="H121" s="8" t="inlineStr">
        <is>
          <t>MS3</t>
        </is>
      </c>
      <c r="I121" s="16" t="n">
        <v>0.1</v>
      </c>
      <c r="J121" s="10">
        <f>Station_BOQ!R8</f>
        <v/>
      </c>
      <c r="K121" s="9">
        <f>I121*62000000*J121</f>
        <v/>
      </c>
      <c r="L121" s="18" t="n">
        <v>0.05</v>
      </c>
      <c r="M121" s="9">
        <f>ROUND(K121*L121,0)</f>
        <v/>
      </c>
      <c r="N121" s="9" t="n">
        <v>47754</v>
      </c>
      <c r="O121" s="9">
        <f>N121-M121</f>
        <v/>
      </c>
      <c r="P121" s="8" t="inlineStr">
        <is>
          <t>MS3 SAR approval of engineering 10% x station price share 15.40% | Design stage key 5.0% of the SAR-approval milestone</t>
        </is>
      </c>
      <c r="Q121" s="8" t="inlineStr">
        <is>
          <t>Annex 3 Design and engineering package (railway) allocated by station hardware share</t>
        </is>
      </c>
      <c r="R121" s="9" t="n">
        <v>58</v>
      </c>
      <c r="S121" s="19">
        <f>R121/1000</f>
        <v/>
      </c>
      <c r="T121" s="20" t="n">
        <v>46481</v>
      </c>
      <c r="U121" s="20" t="n">
        <v>46499</v>
      </c>
      <c r="V121" s="8" t="n">
        <v>15</v>
      </c>
    </row>
    <row r="122">
      <c r="A122" s="8" t="inlineStr">
        <is>
          <t>SH-DES</t>
        </is>
      </c>
      <c r="B122" s="8" t="inlineStr">
        <is>
          <t>Design and engineering package (per railway, allocated to the station)</t>
        </is>
      </c>
      <c r="C122" s="8" t="inlineStr">
        <is>
          <t>HJD-E1030</t>
        </is>
      </c>
      <c r="D122" s="8" t="inlineStr">
        <is>
          <t>Concept design: submittal - Jeddah</t>
        </is>
      </c>
      <c r="E122" s="8" t="inlineStr">
        <is>
          <t>ENG.HJD.CNC.SUB</t>
        </is>
      </c>
      <c r="F122" s="8" t="inlineStr">
        <is>
          <t>Engineering</t>
        </is>
      </c>
      <c r="G122" s="8" t="inlineStr">
        <is>
          <t>HJD</t>
        </is>
      </c>
      <c r="H122" s="8" t="inlineStr">
        <is>
          <t>MS2</t>
        </is>
      </c>
      <c r="I122" s="16" t="n">
        <v>0.1</v>
      </c>
      <c r="J122" s="10">
        <f>Station_BOQ!R8</f>
        <v/>
      </c>
      <c r="K122" s="9">
        <f>I122*62000000*J122</f>
        <v/>
      </c>
      <c r="L122" s="18" t="n">
        <v>0.098</v>
      </c>
      <c r="M122" s="9">
        <f>ROUND(K122*L122,0)</f>
        <v/>
      </c>
      <c r="N122" s="9" t="n">
        <v>93599</v>
      </c>
      <c r="O122" s="9">
        <f>N122-M122</f>
        <v/>
      </c>
      <c r="P122" s="8" t="inlineStr">
        <is>
          <t>MS2 Engineering submittal 10% x station price share 15.40% | Design stage key 9.8% of the engineering-submittal milestone</t>
        </is>
      </c>
      <c r="Q122" s="8" t="inlineStr">
        <is>
          <t>Annex 3 Design and engineering package (railway) allocated by station hardware share</t>
        </is>
      </c>
      <c r="R122" s="9" t="n">
        <v>50</v>
      </c>
      <c r="S122" s="19">
        <f>R122/1000</f>
        <v/>
      </c>
      <c r="T122" s="20" t="n">
        <v>46481</v>
      </c>
      <c r="U122" s="20" t="n">
        <v>46488</v>
      </c>
      <c r="V122" s="8" t="n">
        <v>6</v>
      </c>
    </row>
    <row r="123">
      <c r="A123" s="8" t="inlineStr">
        <is>
          <t>SH-DES</t>
        </is>
      </c>
      <c r="B123" s="8" t="inlineStr">
        <is>
          <t>Design and engineering package (per railway, allocated to the station)</t>
        </is>
      </c>
      <c r="C123" s="8" t="inlineStr">
        <is>
          <t>HJD-E1040</t>
        </is>
      </c>
      <c r="D123" s="8" t="inlineStr">
        <is>
          <t>Concept design: SAR review and approval - Jeddah</t>
        </is>
      </c>
      <c r="E123" s="8" t="inlineStr">
        <is>
          <t>ENG.HJD.CNC.APR</t>
        </is>
      </c>
      <c r="F123" s="8" t="inlineStr">
        <is>
          <t>Engineering</t>
        </is>
      </c>
      <c r="G123" s="8" t="inlineStr">
        <is>
          <t>HJD</t>
        </is>
      </c>
      <c r="H123" s="8" t="inlineStr">
        <is>
          <t>MS3</t>
        </is>
      </c>
      <c r="I123" s="16" t="n">
        <v>0.1</v>
      </c>
      <c r="J123" s="10">
        <f>Station_BOQ!R8</f>
        <v/>
      </c>
      <c r="K123" s="9">
        <f>I123*62000000*J123</f>
        <v/>
      </c>
      <c r="L123" s="18" t="n">
        <v>0.1</v>
      </c>
      <c r="M123" s="9">
        <f>ROUND(K123*L123,0)</f>
        <v/>
      </c>
      <c r="N123" s="9" t="n">
        <v>95509</v>
      </c>
      <c r="O123" s="9">
        <f>N123-M123</f>
        <v/>
      </c>
      <c r="P123" s="8" t="inlineStr">
        <is>
          <t>MS3 SAR approval of engineering 10% x station price share 15.40% | Design stage key 10.0% of the SAR-approval milestone</t>
        </is>
      </c>
      <c r="Q123" s="8" t="inlineStr">
        <is>
          <t>Annex 3 Design and engineering package (railway) allocated by station hardware share</t>
        </is>
      </c>
      <c r="R123" s="9" t="n">
        <v>124</v>
      </c>
      <c r="S123" s="19">
        <f>R123/1000</f>
        <v/>
      </c>
      <c r="T123" s="20" t="n">
        <v>46489</v>
      </c>
      <c r="U123" s="20" t="n">
        <v>46509</v>
      </c>
      <c r="V123" s="8" t="n">
        <v>15</v>
      </c>
    </row>
    <row r="124">
      <c r="A124" s="8" t="inlineStr">
        <is>
          <t>SH-DES</t>
        </is>
      </c>
      <c r="B124" s="8" t="inlineStr">
        <is>
          <t>Design and engineering package (per railway, allocated to the station)</t>
        </is>
      </c>
      <c r="C124" s="8" t="inlineStr">
        <is>
          <t>HJD-E1050</t>
        </is>
      </c>
      <c r="D124" s="8" t="inlineStr">
        <is>
          <t>Preliminary design: submittal - Jeddah</t>
        </is>
      </c>
      <c r="E124" s="8" t="inlineStr">
        <is>
          <t>ENG.HJD.PRE.SUB</t>
        </is>
      </c>
      <c r="F124" s="8" t="inlineStr">
        <is>
          <t>Engineering</t>
        </is>
      </c>
      <c r="G124" s="8" t="inlineStr">
        <is>
          <t>HJD</t>
        </is>
      </c>
      <c r="H124" s="8" t="inlineStr">
        <is>
          <t>MS2</t>
        </is>
      </c>
      <c r="I124" s="16" t="n">
        <v>0.1</v>
      </c>
      <c r="J124" s="10">
        <f>Station_BOQ!R8</f>
        <v/>
      </c>
      <c r="K124" s="9">
        <f>I124*62000000*J124</f>
        <v/>
      </c>
      <c r="L124" s="18" t="n">
        <v>0.196</v>
      </c>
      <c r="M124" s="9">
        <f>ROUND(K124*L124,0)</f>
        <v/>
      </c>
      <c r="N124" s="9" t="n">
        <v>187197</v>
      </c>
      <c r="O124" s="9">
        <f>N124-M124</f>
        <v/>
      </c>
      <c r="P124" s="8" t="inlineStr">
        <is>
          <t>MS2 Engineering submittal 10% x station price share 15.40% | Design stage key 19.6% of the engineering-submittal milestone</t>
        </is>
      </c>
      <c r="Q124" s="8" t="inlineStr">
        <is>
          <t>Annex 3 Design and engineering package (railway) allocated by station hardware share</t>
        </is>
      </c>
      <c r="R124" s="9" t="n">
        <v>125</v>
      </c>
      <c r="S124" s="19">
        <f>R124/1000</f>
        <v/>
      </c>
      <c r="T124" s="20" t="n">
        <v>46489</v>
      </c>
      <c r="U124" s="20" t="n">
        <v>46502</v>
      </c>
      <c r="V124" s="8" t="n">
        <v>10</v>
      </c>
    </row>
    <row r="125">
      <c r="A125" s="8" t="inlineStr">
        <is>
          <t>SH-DES</t>
        </is>
      </c>
      <c r="B125" s="8" t="inlineStr">
        <is>
          <t>Design and engineering package (per railway, allocated to the station)</t>
        </is>
      </c>
      <c r="C125" s="8" t="inlineStr">
        <is>
          <t>HJD-E1060</t>
        </is>
      </c>
      <c r="D125" s="8" t="inlineStr">
        <is>
          <t>Preliminary design: SAR review and approval - Jeddah</t>
        </is>
      </c>
      <c r="E125" s="8" t="inlineStr">
        <is>
          <t>ENG.HJD.PRE.APR</t>
        </is>
      </c>
      <c r="F125" s="8" t="inlineStr">
        <is>
          <t>Engineering</t>
        </is>
      </c>
      <c r="G125" s="8" t="inlineStr">
        <is>
          <t>HJD</t>
        </is>
      </c>
      <c r="H125" s="8" t="inlineStr">
        <is>
          <t>MS3</t>
        </is>
      </c>
      <c r="I125" s="16" t="n">
        <v>0.1</v>
      </c>
      <c r="J125" s="10">
        <f>Station_BOQ!R8</f>
        <v/>
      </c>
      <c r="K125" s="9">
        <f>I125*62000000*J125</f>
        <v/>
      </c>
      <c r="L125" s="18" t="n">
        <v>0.2</v>
      </c>
      <c r="M125" s="9">
        <f>ROUND(K125*L125,0)</f>
        <v/>
      </c>
      <c r="N125" s="9" t="n">
        <v>191018</v>
      </c>
      <c r="O125" s="9">
        <f>N125-M125</f>
        <v/>
      </c>
      <c r="P125" s="8" t="inlineStr">
        <is>
          <t>MS3 SAR approval of engineering 10% x station price share 15.40% | Design stage key 20.0% of the SAR-approval milestone</t>
        </is>
      </c>
      <c r="Q125" s="8" t="inlineStr">
        <is>
          <t>Annex 3 Design and engineering package (railway) allocated by station hardware share</t>
        </is>
      </c>
      <c r="R125" s="9" t="n">
        <v>188</v>
      </c>
      <c r="S125" s="19">
        <f>R125/1000</f>
        <v/>
      </c>
      <c r="T125" s="20" t="n">
        <v>46503</v>
      </c>
      <c r="U125" s="20" t="n">
        <v>46530</v>
      </c>
      <c r="V125" s="8" t="n">
        <v>15</v>
      </c>
    </row>
    <row r="126">
      <c r="A126" s="8" t="inlineStr">
        <is>
          <t>SH-DES</t>
        </is>
      </c>
      <c r="B126" s="8" t="inlineStr">
        <is>
          <t>Design and engineering package (per railway, allocated to the station)</t>
        </is>
      </c>
      <c r="C126" s="8" t="inlineStr">
        <is>
          <t>HJD-E1070</t>
        </is>
      </c>
      <c r="D126" s="8" t="inlineStr">
        <is>
          <t>Detailed design: submittal (drawings, BOQ, data sheets) - Jeddah</t>
        </is>
      </c>
      <c r="E126" s="8" t="inlineStr">
        <is>
          <t>ENG.HJD.DET.SUB</t>
        </is>
      </c>
      <c r="F126" s="8" t="inlineStr">
        <is>
          <t>Engineering</t>
        </is>
      </c>
      <c r="G126" s="8" t="inlineStr">
        <is>
          <t>HJD</t>
        </is>
      </c>
      <c r="H126" s="8" t="inlineStr">
        <is>
          <t>MS2</t>
        </is>
      </c>
      <c r="I126" s="16" t="n">
        <v>0.1</v>
      </c>
      <c r="J126" s="10">
        <f>Station_BOQ!R8</f>
        <v/>
      </c>
      <c r="K126" s="9">
        <f>I126*62000000*J126</f>
        <v/>
      </c>
      <c r="L126" s="18" t="n">
        <v>0.392</v>
      </c>
      <c r="M126" s="9">
        <f>ROUND(K126*L126,0)</f>
        <v/>
      </c>
      <c r="N126" s="9" t="n">
        <v>374395</v>
      </c>
      <c r="O126" s="9">
        <f>N126-M126</f>
        <v/>
      </c>
      <c r="P126" s="8" t="inlineStr">
        <is>
          <t>MS2 Engineering submittal 10% x station price share 15.40% | Design stage key 39.2% of the engineering-submittal milestone</t>
        </is>
      </c>
      <c r="Q126" s="8" t="inlineStr">
        <is>
          <t>Annex 3 Design and engineering package (railway) allocated by station hardware share</t>
        </is>
      </c>
      <c r="R126" s="9" t="n">
        <v>269</v>
      </c>
      <c r="S126" s="19">
        <f>R126/1000</f>
        <v/>
      </c>
      <c r="T126" s="20" t="n">
        <v>46503</v>
      </c>
      <c r="U126" s="20" t="n">
        <v>46531</v>
      </c>
      <c r="V126" s="8" t="n">
        <v>16</v>
      </c>
    </row>
    <row r="127">
      <c r="A127" s="8" t="inlineStr">
        <is>
          <t>SH-DES</t>
        </is>
      </c>
      <c r="B127" s="8" t="inlineStr">
        <is>
          <t>Design and engineering package (per railway, allocated to the station)</t>
        </is>
      </c>
      <c r="C127" s="8" t="inlineStr">
        <is>
          <t>HJD-E1080</t>
        </is>
      </c>
      <c r="D127" s="8" t="inlineStr">
        <is>
          <t>Detailed design: SAR review and approval - Jeddah</t>
        </is>
      </c>
      <c r="E127" s="8" t="inlineStr">
        <is>
          <t>ENG.HJD.DET.APR</t>
        </is>
      </c>
      <c r="F127" s="8" t="inlineStr">
        <is>
          <t>Engineering</t>
        </is>
      </c>
      <c r="G127" s="8" t="inlineStr">
        <is>
          <t>HJD</t>
        </is>
      </c>
      <c r="H127" s="8" t="inlineStr">
        <is>
          <t>MS3</t>
        </is>
      </c>
      <c r="I127" s="16" t="n">
        <v>0.1</v>
      </c>
      <c r="J127" s="10">
        <f>Station_BOQ!R8</f>
        <v/>
      </c>
      <c r="K127" s="9">
        <f>I127*62000000*J127</f>
        <v/>
      </c>
      <c r="L127" s="18" t="n">
        <v>0.4</v>
      </c>
      <c r="M127" s="9">
        <f>ROUND(K127*L127,0)</f>
        <v/>
      </c>
      <c r="N127" s="9" t="n">
        <v>382035</v>
      </c>
      <c r="O127" s="9">
        <f>N127-M127</f>
        <v/>
      </c>
      <c r="P127" s="8" t="inlineStr">
        <is>
          <t>MS3 SAR approval of engineering 10% x station price share 15.40% | Design stage key 40.0% of the SAR-approval milestone</t>
        </is>
      </c>
      <c r="Q127" s="8" t="inlineStr">
        <is>
          <t>Annex 3 Design and engineering package (railway) allocated by station hardware share</t>
        </is>
      </c>
      <c r="R127" s="9" t="n">
        <v>252</v>
      </c>
      <c r="S127" s="19">
        <f>R127/1000</f>
        <v/>
      </c>
      <c r="T127" s="20" t="n">
        <v>46532</v>
      </c>
      <c r="U127" s="20" t="n">
        <v>46552</v>
      </c>
      <c r="V127" s="8" t="n">
        <v>15</v>
      </c>
    </row>
    <row r="128">
      <c r="A128" s="8" t="inlineStr">
        <is>
          <t>SH-DES</t>
        </is>
      </c>
      <c r="B128" s="8" t="inlineStr">
        <is>
          <t>Design and engineering package (per railway, allocated to the station)</t>
        </is>
      </c>
      <c r="C128" s="8" t="inlineStr">
        <is>
          <t>HJD-E1090</t>
        </is>
      </c>
      <c r="D128" s="8" t="inlineStr">
        <is>
          <t>IFC and shop drawings: submittal - Jeddah</t>
        </is>
      </c>
      <c r="E128" s="8" t="inlineStr">
        <is>
          <t>ENG.HJD.IFC.SUB</t>
        </is>
      </c>
      <c r="F128" s="8" t="inlineStr">
        <is>
          <t>Engineering</t>
        </is>
      </c>
      <c r="G128" s="8" t="inlineStr">
        <is>
          <t>HJD</t>
        </is>
      </c>
      <c r="H128" s="8" t="inlineStr">
        <is>
          <t>MS2</t>
        </is>
      </c>
      <c r="I128" s="16" t="n">
        <v>0.1</v>
      </c>
      <c r="J128" s="10">
        <f>Station_BOQ!R8</f>
        <v/>
      </c>
      <c r="K128" s="9">
        <f>I128*62000000*J128</f>
        <v/>
      </c>
      <c r="L128" s="18" t="n">
        <v>0.196</v>
      </c>
      <c r="M128" s="9">
        <f>ROUND(K128*L128,0)</f>
        <v/>
      </c>
      <c r="N128" s="9" t="n">
        <v>187197</v>
      </c>
      <c r="O128" s="9">
        <f>N128-M128</f>
        <v/>
      </c>
      <c r="P128" s="8" t="inlineStr">
        <is>
          <t>MS2 Engineering submittal 10% x station price share 15.40% | Design stage key 19.6% of the engineering-submittal milestone</t>
        </is>
      </c>
      <c r="Q128" s="8" t="inlineStr">
        <is>
          <t>Annex 3 Design and engineering package (railway) allocated by station hardware share</t>
        </is>
      </c>
      <c r="R128" s="9" t="n">
        <v>109</v>
      </c>
      <c r="S128" s="19">
        <f>R128/1000</f>
        <v/>
      </c>
      <c r="T128" s="20" t="n">
        <v>46532</v>
      </c>
      <c r="U128" s="20" t="n">
        <v>46541</v>
      </c>
      <c r="V128" s="8" t="n">
        <v>8</v>
      </c>
    </row>
    <row r="129">
      <c r="A129" s="8" t="inlineStr">
        <is>
          <t>SH-DES</t>
        </is>
      </c>
      <c r="B129" s="8" t="inlineStr">
        <is>
          <t>Design and engineering package (per railway, allocated to the station)</t>
        </is>
      </c>
      <c r="C129" s="8" t="inlineStr">
        <is>
          <t>HJD-E1100</t>
        </is>
      </c>
      <c r="D129" s="8" t="inlineStr">
        <is>
          <t>IFC and shop drawings: SAR approval and release - Jeddah</t>
        </is>
      </c>
      <c r="E129" s="8" t="inlineStr">
        <is>
          <t>ENG.HJD.IFC.APR</t>
        </is>
      </c>
      <c r="F129" s="8" t="inlineStr">
        <is>
          <t>Engineering</t>
        </is>
      </c>
      <c r="G129" s="8" t="inlineStr">
        <is>
          <t>HJD</t>
        </is>
      </c>
      <c r="H129" s="8" t="inlineStr">
        <is>
          <t>MS3</t>
        </is>
      </c>
      <c r="I129" s="16" t="n">
        <v>0.1</v>
      </c>
      <c r="J129" s="10">
        <f>Station_BOQ!R8</f>
        <v/>
      </c>
      <c r="K129" s="9">
        <f>I129*62000000*J129</f>
        <v/>
      </c>
      <c r="L129" s="18" t="n">
        <v>0.2</v>
      </c>
      <c r="M129" s="9">
        <f>ROUND(K129*L129,0)</f>
        <v/>
      </c>
      <c r="N129" s="9" t="n">
        <v>191018</v>
      </c>
      <c r="O129" s="9">
        <f>N129-M129</f>
        <v/>
      </c>
      <c r="P129" s="8" t="inlineStr">
        <is>
          <t>MS3 SAR approval of engineering 10% x station price share 15.40% | Design stage key 20.0% of the SAR-approval milestone</t>
        </is>
      </c>
      <c r="Q129" s="8" t="inlineStr">
        <is>
          <t>Annex 3 Design and engineering package (railway) allocated by station hardware share</t>
        </is>
      </c>
      <c r="R129" s="9" t="n">
        <v>204</v>
      </c>
      <c r="S129" s="19">
        <f>R129/1000</f>
        <v/>
      </c>
      <c r="T129" s="20" t="n">
        <v>46544</v>
      </c>
      <c r="U129" s="20" t="n">
        <v>46562</v>
      </c>
      <c r="V129" s="8" t="n">
        <v>15</v>
      </c>
    </row>
    <row r="130">
      <c r="A130" s="8" t="inlineStr">
        <is>
          <t>SH-DES</t>
        </is>
      </c>
      <c r="B130" s="8" t="inlineStr">
        <is>
          <t>Design and engineering package (per railway, allocated to the station)</t>
        </is>
      </c>
      <c r="C130" s="8" t="inlineStr">
        <is>
          <t>HJD-E1110</t>
        </is>
      </c>
      <c r="D130" s="8" t="inlineStr">
        <is>
          <t>HCIS Stage 3 and 4 documents: preparation - Jeddah</t>
        </is>
      </c>
      <c r="E130" s="8" t="inlineStr">
        <is>
          <t>ENG.HJD.HCS.SUB</t>
        </is>
      </c>
      <c r="F130" s="8" t="inlineStr">
        <is>
          <t>Engineering</t>
        </is>
      </c>
      <c r="G130" s="8" t="inlineStr">
        <is>
          <t>HJD</t>
        </is>
      </c>
      <c r="H130" s="8" t="inlineStr">
        <is>
          <t>MS2</t>
        </is>
      </c>
      <c r="I130" s="16" t="n">
        <v>0.1</v>
      </c>
      <c r="J130" s="10">
        <f>Station_BOQ!R8</f>
        <v/>
      </c>
      <c r="K130" s="9">
        <f>I130*62000000*J130</f>
        <v/>
      </c>
      <c r="L130" s="18" t="n">
        <v>0.049</v>
      </c>
      <c r="M130" s="9">
        <f>ROUND(K130*L130,0)</f>
        <v/>
      </c>
      <c r="N130" s="9" t="n">
        <v>46799</v>
      </c>
      <c r="O130" s="9">
        <f>N130-M130</f>
        <v/>
      </c>
      <c r="P130" s="8" t="inlineStr">
        <is>
          <t>MS2 Engineering submittal 10% x station price share 15.40% | Design stage key 4.9% of the engineering-submittal milestone</t>
        </is>
      </c>
      <c r="Q130" s="8" t="inlineStr">
        <is>
          <t>Annex 3 Design and engineering package (railway) allocated by station hardware share</t>
        </is>
      </c>
      <c r="R130" s="9" t="n">
        <v>57</v>
      </c>
      <c r="S130" s="19">
        <f>R130/1000</f>
        <v/>
      </c>
      <c r="T130" s="20" t="n">
        <v>46511</v>
      </c>
      <c r="U130" s="20" t="n">
        <v>46541</v>
      </c>
      <c r="V130" s="8" t="n">
        <v>18</v>
      </c>
    </row>
    <row r="131">
      <c r="A131" s="8" t="inlineStr">
        <is>
          <t>SH-DES</t>
        </is>
      </c>
      <c r="B131" s="8" t="inlineStr">
        <is>
          <t>Design and engineering package (per railway, allocated to the station)</t>
        </is>
      </c>
      <c r="C131" s="8" t="inlineStr">
        <is>
          <t>HJD-E1120</t>
        </is>
      </c>
      <c r="D131" s="8" t="inlineStr">
        <is>
          <t>HCIS Stage 3 and 4 documents: SAR final review and HCIS submission - Jeddah</t>
        </is>
      </c>
      <c r="E131" s="8" t="inlineStr">
        <is>
          <t>ENG.HJD.HCS.APR</t>
        </is>
      </c>
      <c r="F131" s="8" t="inlineStr">
        <is>
          <t>Engineering</t>
        </is>
      </c>
      <c r="G131" s="8" t="inlineStr">
        <is>
          <t>HJD</t>
        </is>
      </c>
      <c r="H131" s="8" t="inlineStr">
        <is>
          <t>MS3</t>
        </is>
      </c>
      <c r="I131" s="16" t="n">
        <v>0.1</v>
      </c>
      <c r="J131" s="10">
        <f>Station_BOQ!R8</f>
        <v/>
      </c>
      <c r="K131" s="9">
        <f>I131*62000000*J131</f>
        <v/>
      </c>
      <c r="L131" s="18" t="n">
        <v>0.05</v>
      </c>
      <c r="M131" s="9">
        <f>ROUND(K131*L131,0)</f>
        <v/>
      </c>
      <c r="N131" s="9" t="n">
        <v>47754</v>
      </c>
      <c r="O131" s="9">
        <f>N131-M131</f>
        <v/>
      </c>
      <c r="P131" s="8" t="inlineStr">
        <is>
          <t>MS3 SAR approval of engineering 10% x station price share 15.40% | Design stage key 5.0% of the SAR-approval milestone</t>
        </is>
      </c>
      <c r="Q131" s="8" t="inlineStr">
        <is>
          <t>Annex 3 Design and engineering package (railway) allocated by station hardware share</t>
        </is>
      </c>
      <c r="R131" s="9" t="n">
        <v>47</v>
      </c>
      <c r="S131" s="19">
        <f>R131/1000</f>
        <v/>
      </c>
      <c r="T131" s="20" t="n">
        <v>46544</v>
      </c>
      <c r="U131" s="20" t="n">
        <v>46562</v>
      </c>
      <c r="V131" s="8" t="n">
        <v>15</v>
      </c>
    </row>
    <row r="132">
      <c r="A132" s="8" t="inlineStr">
        <is>
          <t>SH-DES, SH-TRN</t>
        </is>
      </c>
      <c r="B132" s="8" t="inlineStr">
        <is>
          <t>Design and engineering package (per railway, allocated to the station) and Training (per railway, allocated): documentation and training share</t>
        </is>
      </c>
      <c r="C132" s="8" t="inlineStr">
        <is>
          <t>HJD-E1130</t>
        </is>
      </c>
      <c r="D132" s="8" t="inlineStr">
        <is>
          <t>As-built and O&amp;M documentation: submittal - Jeddah</t>
        </is>
      </c>
      <c r="E132" s="8" t="inlineStr">
        <is>
          <t>ENG.HJD.ASB.SUB</t>
        </is>
      </c>
      <c r="F132" s="8" t="inlineStr">
        <is>
          <t>Engineering</t>
        </is>
      </c>
      <c r="G132" s="8" t="inlineStr">
        <is>
          <t>HJD</t>
        </is>
      </c>
      <c r="H132" s="8" t="inlineStr">
        <is>
          <t>MS7</t>
        </is>
      </c>
      <c r="I132" s="16" t="n">
        <v>0.1</v>
      </c>
      <c r="J132" s="10">
        <f>Station_BOQ!R8</f>
        <v/>
      </c>
      <c r="K132" s="9">
        <f>I132*62000000*J132</f>
        <v/>
      </c>
      <c r="L132" s="18" t="n">
        <v>0.15</v>
      </c>
      <c r="M132" s="9">
        <f>ROUND(K132*L132,0)</f>
        <v/>
      </c>
      <c r="N132" s="9" t="n">
        <v>143263</v>
      </c>
      <c r="O132" s="9">
        <f>N132-M132</f>
        <v/>
      </c>
      <c r="P132" s="8" t="inlineStr">
        <is>
          <t>MS7 Final acceptance and handover 10% x station price share 15.40% | Fixed key 15% of final-acceptance milestone</t>
        </is>
      </c>
      <c r="Q132" s="8" t="inlineStr">
        <is>
          <t>Annex 3 documentation and training share</t>
        </is>
      </c>
      <c r="R132" s="9" t="n">
        <v>127</v>
      </c>
      <c r="S132" s="19">
        <f>R132/1000</f>
        <v/>
      </c>
      <c r="T132" s="20" t="n">
        <v>46849</v>
      </c>
      <c r="U132" s="20" t="n">
        <v>46912</v>
      </c>
      <c r="V132" s="8" t="n">
        <v>41</v>
      </c>
    </row>
    <row r="133">
      <c r="A133" s="8" t="inlineStr">
        <is>
          <t>SH-DES</t>
        </is>
      </c>
      <c r="B133" s="8" t="inlineStr">
        <is>
          <t>Design and engineering package (per railway, allocated to the station): documentation share</t>
        </is>
      </c>
      <c r="C133" s="8" t="inlineStr">
        <is>
          <t>HJD-E1140</t>
        </is>
      </c>
      <c r="D133" s="8" t="inlineStr">
        <is>
          <t>As-built and O&amp;M documentation: SAR review and approval - Jeddah</t>
        </is>
      </c>
      <c r="E133" s="8" t="inlineStr">
        <is>
          <t>ENG.HJD.ASB.APR</t>
        </is>
      </c>
      <c r="F133" s="8" t="inlineStr">
        <is>
          <t>Engineering</t>
        </is>
      </c>
      <c r="G133" s="8" t="inlineStr">
        <is>
          <t>HJD</t>
        </is>
      </c>
      <c r="H133" s="8" t="inlineStr">
        <is>
          <t>MS7</t>
        </is>
      </c>
      <c r="I133" s="16" t="n">
        <v>0.1</v>
      </c>
      <c r="J133" s="10">
        <f>Station_BOQ!R8</f>
        <v/>
      </c>
      <c r="K133" s="9">
        <f>I133*62000000*J133</f>
        <v/>
      </c>
      <c r="L133" s="18" t="n">
        <v>0.05</v>
      </c>
      <c r="M133" s="9">
        <f>ROUND(K133*L133,0)</f>
        <v/>
      </c>
      <c r="N133" s="9" t="n">
        <v>47754</v>
      </c>
      <c r="O133" s="9">
        <f>N133-M133</f>
        <v/>
      </c>
      <c r="P133" s="8" t="inlineStr">
        <is>
          <t>MS7 Final acceptance and handover 10% x station price share 15.40% | Fixed key 5%</t>
        </is>
      </c>
      <c r="Q133" s="8" t="inlineStr">
        <is>
          <t>Annex 3 documentation share</t>
        </is>
      </c>
      <c r="R133" s="9" t="n">
        <v>47</v>
      </c>
      <c r="S133" s="19">
        <f>R133/1000</f>
        <v/>
      </c>
      <c r="T133" s="20" t="n">
        <v>46915</v>
      </c>
      <c r="U133" s="20" t="n">
        <v>46933</v>
      </c>
      <c r="V133" s="8" t="n">
        <v>15</v>
      </c>
    </row>
    <row r="134">
      <c r="A134" s="8" t="inlineStr">
        <is>
          <t>-</t>
        </is>
      </c>
      <c r="B134" s="8" t="inlineStr">
        <is>
          <t>No BOQ cost: administrative or review step with no payment milestone</t>
        </is>
      </c>
      <c r="C134" s="8" t="inlineStr">
        <is>
          <t>HJD-X1010</t>
        </is>
      </c>
      <c r="D134" s="8" t="inlineStr">
        <is>
          <t>Enabling works: site preparation, setting out, temporary works and utilities clearance - Jeddah</t>
        </is>
      </c>
      <c r="E134" s="8" t="inlineStr">
        <is>
          <t>CON.HJD.ENA</t>
        </is>
      </c>
      <c r="F134" s="8" t="inlineStr">
        <is>
          <t>Construction</t>
        </is>
      </c>
      <c r="G134" s="8" t="inlineStr">
        <is>
          <t>HJD</t>
        </is>
      </c>
      <c r="H134" s="8" t="inlineStr">
        <is>
          <t>MS5</t>
        </is>
      </c>
      <c r="I134" s="16" t="n">
        <v>0.2</v>
      </c>
      <c r="J134" s="10">
        <f>Station_BOQ!R8</f>
        <v/>
      </c>
      <c r="K134" s="9">
        <f>I134*62000000*J134</f>
        <v/>
      </c>
      <c r="L134" s="18" t="n">
        <v>0.003758693976354978</v>
      </c>
      <c r="M134" s="9">
        <f>ROUND(K134*L134,0)</f>
        <v/>
      </c>
      <c r="N134" s="9" t="n">
        <v>7180</v>
      </c>
      <c r="O134" s="9">
        <f>N134-M134</f>
        <v/>
      </c>
      <c r="P134" s="8" t="inlineStr">
        <is>
          <t>MS5 Installation 20% x station price share 15.40% | BOQ civil share 9.4% x 4% (enabling: site preparation)</t>
        </is>
      </c>
      <c r="Q134" s="8" t="inlineStr">
        <is>
          <t>Annex 3 A6 Civil works (SAR 521,718)</t>
        </is>
      </c>
      <c r="R134" s="9" t="n">
        <v>148</v>
      </c>
      <c r="S134" s="19">
        <f>R134/1000</f>
        <v/>
      </c>
      <c r="T134" s="20" t="n">
        <v>46565</v>
      </c>
      <c r="U134" s="20" t="n">
        <v>46569</v>
      </c>
      <c r="V134" s="8" t="n">
        <v>5</v>
      </c>
    </row>
    <row r="135">
      <c r="A135" s="8" t="inlineStr">
        <is>
          <t>-</t>
        </is>
      </c>
      <c r="B135" s="8" t="inlineStr">
        <is>
          <t>No BOQ cost: administrative or review step with no payment milestone</t>
        </is>
      </c>
      <c r="C135" s="8" t="inlineStr">
        <is>
          <t>HJD-X1020</t>
        </is>
      </c>
      <c r="D135" s="8" t="inlineStr">
        <is>
          <t>Enabling works: cable routes, duct-bank and cabinet plinth preparation - Jeddah</t>
        </is>
      </c>
      <c r="E135" s="8" t="inlineStr">
        <is>
          <t>CON.HJD.ENA</t>
        </is>
      </c>
      <c r="F135" s="8" t="inlineStr">
        <is>
          <t>Construction</t>
        </is>
      </c>
      <c r="G135" s="8" t="inlineStr">
        <is>
          <t>HJD</t>
        </is>
      </c>
      <c r="H135" s="8" t="inlineStr">
        <is>
          <t>MS5</t>
        </is>
      </c>
      <c r="I135" s="16" t="n">
        <v>0.2</v>
      </c>
      <c r="J135" s="10">
        <f>Station_BOQ!R8</f>
        <v/>
      </c>
      <c r="K135" s="9">
        <f>I135*62000000*J135</f>
        <v/>
      </c>
      <c r="L135" s="18" t="n">
        <v>0.005638040964532467</v>
      </c>
      <c r="M135" s="9">
        <f>ROUND(K135*L135,0)</f>
        <v/>
      </c>
      <c r="N135" s="9" t="n">
        <v>10770</v>
      </c>
      <c r="O135" s="9">
        <f>N135-M135</f>
        <v/>
      </c>
      <c r="P135" s="8" t="inlineStr">
        <is>
          <t>MS5 Installation 20% x station price share 15.40% | BOQ civil share 9.4% x 6% (enabling: routes, ducts, plinths)</t>
        </is>
      </c>
      <c r="Q135" s="8" t="inlineStr">
        <is>
          <t>Annex 3 A6 Civil works (SAR 521,718)</t>
        </is>
      </c>
      <c r="R135" s="9" t="n">
        <v>222</v>
      </c>
      <c r="S135" s="19">
        <f>R135/1000</f>
        <v/>
      </c>
      <c r="T135" s="20" t="n">
        <v>46572</v>
      </c>
      <c r="U135" s="20" t="n">
        <v>46583</v>
      </c>
      <c r="V135" s="8" t="n">
        <v>10</v>
      </c>
    </row>
    <row r="136">
      <c r="A136" s="8" t="inlineStr">
        <is>
          <t>A1</t>
        </is>
      </c>
      <c r="B136" s="8" t="inlineStr">
        <is>
          <t>A1 CCTV system</t>
        </is>
      </c>
      <c r="C136" s="8" t="inlineStr">
        <is>
          <t>HJD-P1010</t>
        </is>
      </c>
      <c r="D136" s="8" t="inlineStr">
        <is>
          <t>Manufacture CCTV cameras and analytics - Jeddah</t>
        </is>
      </c>
      <c r="E136" s="8" t="inlineStr">
        <is>
          <t>PRO.HJD.CCT</t>
        </is>
      </c>
      <c r="F136" s="8" t="inlineStr">
        <is>
          <t>Procurement</t>
        </is>
      </c>
      <c r="G136" s="8" t="inlineStr">
        <is>
          <t>HJD</t>
        </is>
      </c>
      <c r="H136" s="8" t="inlineStr">
        <is>
          <t>MS4</t>
        </is>
      </c>
      <c r="I136" s="16" t="n">
        <v>0.2</v>
      </c>
      <c r="J136" s="10">
        <f>Station_BOQ!R8</f>
        <v/>
      </c>
      <c r="K136" s="9">
        <f>I136*62000000*J136</f>
        <v/>
      </c>
      <c r="L136" s="18" t="n">
        <v>0.2074197052243538</v>
      </c>
      <c r="M136" s="9">
        <f>ROUND(K136*L136,0)</f>
        <v/>
      </c>
      <c r="N136" s="9" t="n">
        <v>396208</v>
      </c>
      <c r="O136" s="9">
        <f>N136-M136</f>
        <v/>
      </c>
      <c r="P136" s="8" t="inlineStr">
        <is>
          <t>MS4 Material delivery 20% x station price share 15.40% | BOQ section share 27.7% of station equipment x 75% (manufacture)</t>
        </is>
      </c>
      <c r="Q136" s="8" t="inlineStr">
        <is>
          <t>Annex 3 A1 CCTV system (SAR 1,391,206)</t>
        </is>
      </c>
      <c r="R136" s="9" t="n">
        <v>982</v>
      </c>
      <c r="S136" s="19">
        <f>R136/1000</f>
        <v/>
      </c>
      <c r="T136" s="20" t="n">
        <v>46565</v>
      </c>
      <c r="U136" s="20" t="n">
        <v>46677</v>
      </c>
      <c r="V136" s="8" t="n">
        <v>80</v>
      </c>
    </row>
    <row r="137">
      <c r="A137" s="8" t="inlineStr">
        <is>
          <t>A2</t>
        </is>
      </c>
      <c r="B137" s="8" t="inlineStr">
        <is>
          <t>A2 Video management and video wall</t>
        </is>
      </c>
      <c r="C137" s="8" t="inlineStr">
        <is>
          <t>HJD-P1020</t>
        </is>
      </c>
      <c r="D137" s="8" t="inlineStr">
        <is>
          <t>Manufacture video management servers, storage and video wall - Jeddah</t>
        </is>
      </c>
      <c r="E137" s="8" t="inlineStr">
        <is>
          <t>PRO.HJD.VMS</t>
        </is>
      </c>
      <c r="F137" s="8" t="inlineStr">
        <is>
          <t>Procurement</t>
        </is>
      </c>
      <c r="G137" s="8" t="inlineStr">
        <is>
          <t>HJD</t>
        </is>
      </c>
      <c r="H137" s="8" t="inlineStr">
        <is>
          <t>MS4</t>
        </is>
      </c>
      <c r="I137" s="16" t="n">
        <v>0.2</v>
      </c>
      <c r="J137" s="10">
        <f>Station_BOQ!R8</f>
        <v/>
      </c>
      <c r="K137" s="9">
        <f>I137*62000000*J137</f>
        <v/>
      </c>
      <c r="L137" s="18" t="n">
        <v>0.09722249832120772</v>
      </c>
      <c r="M137" s="9">
        <f>ROUND(K137*L137,0)</f>
        <v/>
      </c>
      <c r="N137" s="9" t="n">
        <v>185712</v>
      </c>
      <c r="O137" s="9">
        <f>N137-M137</f>
        <v/>
      </c>
      <c r="P137" s="8" t="inlineStr">
        <is>
          <t>MS4 Material delivery 20% x station price share 15.40% | BOQ section share 13.0% of station equipment x 75% (manufacture)</t>
        </is>
      </c>
      <c r="Q137" s="8" t="inlineStr">
        <is>
          <t>Annex 3 A2 Video management and wall (SAR 652,091)</t>
        </is>
      </c>
      <c r="R137" s="9" t="n">
        <v>460</v>
      </c>
      <c r="S137" s="19">
        <f>R137/1000</f>
        <v/>
      </c>
      <c r="T137" s="20" t="n">
        <v>46565</v>
      </c>
      <c r="U137" s="20" t="n">
        <v>46677</v>
      </c>
      <c r="V137" s="8" t="n">
        <v>80</v>
      </c>
    </row>
    <row r="138">
      <c r="A138" s="8" t="inlineStr">
        <is>
          <t>A3</t>
        </is>
      </c>
      <c r="B138" s="8" t="inlineStr">
        <is>
          <t>A3 Access control and intercom</t>
        </is>
      </c>
      <c r="C138" s="8" t="inlineStr">
        <is>
          <t>HJD-P1030</t>
        </is>
      </c>
      <c r="D138" s="8" t="inlineStr">
        <is>
          <t>Manufacture access control and intercom equipment - Jeddah</t>
        </is>
      </c>
      <c r="E138" s="8" t="inlineStr">
        <is>
          <t>PRO.HJD.ACC</t>
        </is>
      </c>
      <c r="F138" s="8" t="inlineStr">
        <is>
          <t>Procurement</t>
        </is>
      </c>
      <c r="G138" s="8" t="inlineStr">
        <is>
          <t>HJD</t>
        </is>
      </c>
      <c r="H138" s="8" t="inlineStr">
        <is>
          <t>MS4</t>
        </is>
      </c>
      <c r="I138" s="16" t="n">
        <v>0.2</v>
      </c>
      <c r="J138" s="10">
        <f>Station_BOQ!R8</f>
        <v/>
      </c>
      <c r="K138" s="9">
        <f>I138*62000000*J138</f>
        <v/>
      </c>
      <c r="L138" s="18" t="n">
        <v>0.006572784839064552</v>
      </c>
      <c r="M138" s="9">
        <f>ROUND(K138*L138,0)</f>
        <v/>
      </c>
      <c r="N138" s="9" t="n">
        <v>12555</v>
      </c>
      <c r="O138" s="9">
        <f>N138-M138</f>
        <v/>
      </c>
      <c r="P138" s="8" t="inlineStr">
        <is>
          <t>MS4 Material delivery 20% x station price share 15.40% | BOQ section share 0.9% of station equipment x 75% (manufacture)</t>
        </is>
      </c>
      <c r="Q138" s="8" t="inlineStr">
        <is>
          <t>Annex 3 A3 Access control and intercom (SAR 44,085)</t>
        </is>
      </c>
      <c r="R138" s="9" t="n">
        <v>31</v>
      </c>
      <c r="S138" s="19">
        <f>R138/1000</f>
        <v/>
      </c>
      <c r="T138" s="20" t="n">
        <v>46565</v>
      </c>
      <c r="U138" s="20" t="n">
        <v>46677</v>
      </c>
      <c r="V138" s="8" t="n">
        <v>80</v>
      </c>
    </row>
    <row r="139">
      <c r="A139" s="8" t="inlineStr">
        <is>
          <t>A4, A5</t>
        </is>
      </c>
      <c r="B139" s="8" t="inlineStr">
        <is>
          <t>A4 UPS and A5 Poles, cabinets and network</t>
        </is>
      </c>
      <c r="C139" s="8" t="inlineStr">
        <is>
          <t>HJD-P1040</t>
        </is>
      </c>
      <c r="D139" s="8" t="inlineStr">
        <is>
          <t>Manufacture UPS, network switches and field cabinets - Jeddah</t>
        </is>
      </c>
      <c r="E139" s="8" t="inlineStr">
        <is>
          <t>PRO.HJD.UPN</t>
        </is>
      </c>
      <c r="F139" s="8" t="inlineStr">
        <is>
          <t>Procurement</t>
        </is>
      </c>
      <c r="G139" s="8" t="inlineStr">
        <is>
          <t>HJD</t>
        </is>
      </c>
      <c r="H139" s="8" t="inlineStr">
        <is>
          <t>MS4</t>
        </is>
      </c>
      <c r="I139" s="16" t="n">
        <v>0.2</v>
      </c>
      <c r="J139" s="10">
        <f>Station_BOQ!R8</f>
        <v/>
      </c>
      <c r="K139" s="9">
        <f>I139*62000000*J139</f>
        <v/>
      </c>
      <c r="L139" s="18" t="n">
        <v>0.4387850116153739</v>
      </c>
      <c r="M139" s="9">
        <f>ROUND(K139*L139,0)</f>
        <v/>
      </c>
      <c r="N139" s="9" t="n">
        <v>838156</v>
      </c>
      <c r="O139" s="9">
        <f>N139-M139</f>
        <v/>
      </c>
      <c r="P139" s="8" t="inlineStr">
        <is>
          <t>MS4 Material delivery 20% x station price share 15.40% | BOQ section share 58.5% of station equipment x 75% (manufacture)</t>
        </is>
      </c>
      <c r="Q139" s="8" t="inlineStr">
        <is>
          <t>Annex 3 A4 UPS + A5 poles, cabinets and network (SAR 2,943,020)</t>
        </is>
      </c>
      <c r="R139" s="9" t="n">
        <v>2077</v>
      </c>
      <c r="S139" s="19">
        <f>R139/1000</f>
        <v/>
      </c>
      <c r="T139" s="20" t="n">
        <v>46565</v>
      </c>
      <c r="U139" s="20" t="n">
        <v>46677</v>
      </c>
      <c r="V139" s="8" t="n">
        <v>80</v>
      </c>
    </row>
    <row r="140">
      <c r="A140" s="8" t="inlineStr">
        <is>
          <t>SH-FAT</t>
        </is>
      </c>
      <c r="B140" s="8" t="inlineStr">
        <is>
          <t>Factory acceptance test (per railway, allocated)</t>
        </is>
      </c>
      <c r="C140" s="8" t="inlineStr">
        <is>
          <t>HJD-P1050</t>
        </is>
      </c>
      <c r="D140" s="8" t="inlineStr">
        <is>
          <t>Factory acceptance test at vendor premises - Jeddah</t>
        </is>
      </c>
      <c r="E140" s="8" t="inlineStr">
        <is>
          <t>PRO.HJD.LOG</t>
        </is>
      </c>
      <c r="F140" s="8" t="inlineStr">
        <is>
          <t>Procurement</t>
        </is>
      </c>
      <c r="G140" s="8" t="inlineStr">
        <is>
          <t>HJD</t>
        </is>
      </c>
      <c r="H140" s="8" t="inlineStr">
        <is>
          <t>MS4</t>
        </is>
      </c>
      <c r="I140" s="16" t="n">
        <v>0.2</v>
      </c>
      <c r="J140" s="10">
        <f>Station_BOQ!R8</f>
        <v/>
      </c>
      <c r="K140" s="9">
        <f>I140*62000000*J140</f>
        <v/>
      </c>
      <c r="L140" s="18" t="n">
        <v>0.05</v>
      </c>
      <c r="M140" s="9">
        <f>ROUND(K140*L140,0)</f>
        <v/>
      </c>
      <c r="N140" s="9" t="n">
        <v>95509</v>
      </c>
      <c r="O140" s="9">
        <f>N140-M140</f>
        <v/>
      </c>
      <c r="P140" s="8" t="inlineStr">
        <is>
          <t>MS4 Material delivery 20% x station price share 15.40% | Fixed key 5% (FAT)</t>
        </is>
      </c>
      <c r="Q140" s="8" t="inlineStr">
        <is>
          <t>Annex 3 Factory acceptance test (railway), allocated by hardware share</t>
        </is>
      </c>
      <c r="R140" s="9" t="n">
        <v>592</v>
      </c>
      <c r="S140" s="19">
        <f>R140/1000</f>
        <v/>
      </c>
      <c r="T140" s="20" t="n">
        <v>46678</v>
      </c>
      <c r="U140" s="20" t="n">
        <v>46691</v>
      </c>
      <c r="V140" s="8" t="n">
        <v>10</v>
      </c>
    </row>
    <row r="141">
      <c r="A141" s="8" t="inlineStr">
        <is>
          <t>A1-A5</t>
        </is>
      </c>
      <c r="B141" s="8" t="inlineStr">
        <is>
          <t>A1 to A5 equipment sections: logistics (shipping, customs, delivery) share</t>
        </is>
      </c>
      <c r="C141" s="8" t="inlineStr">
        <is>
          <t>HJD-P1060</t>
        </is>
      </c>
      <c r="D141" s="8" t="inlineStr">
        <is>
          <t>Shipping and customs clearance - Jeddah</t>
        </is>
      </c>
      <c r="E141" s="8" t="inlineStr">
        <is>
          <t>PRO.HJD.LOG</t>
        </is>
      </c>
      <c r="F141" s="8" t="inlineStr">
        <is>
          <t>Procurement</t>
        </is>
      </c>
      <c r="G141" s="8" t="inlineStr">
        <is>
          <t>HJD</t>
        </is>
      </c>
      <c r="H141" s="8" t="inlineStr">
        <is>
          <t>MS4</t>
        </is>
      </c>
      <c r="I141" s="16" t="n">
        <v>0.2</v>
      </c>
      <c r="J141" s="10">
        <f>Station_BOQ!R8</f>
        <v/>
      </c>
      <c r="K141" s="9">
        <f>I141*62000000*J141</f>
        <v/>
      </c>
      <c r="L141" s="18" t="n">
        <v>0.15</v>
      </c>
      <c r="M141" s="9">
        <f>ROUND(K141*L141,0)</f>
        <v/>
      </c>
      <c r="N141" s="9" t="n">
        <v>286526</v>
      </c>
      <c r="O141" s="9">
        <f>N141-M141</f>
        <v/>
      </c>
      <c r="P141" s="8" t="inlineStr">
        <is>
          <t>MS4 Material delivery 20% x station price share 15.40% | Fixed key 15% (shipping and customs)</t>
        </is>
      </c>
      <c r="Q141" s="8" t="inlineStr">
        <is>
          <t>Annex 3 equipment sections A1-A5 (logistics share)</t>
        </is>
      </c>
      <c r="R141" s="9" t="n">
        <v>1184</v>
      </c>
      <c r="S141" s="19">
        <f>R141/1000</f>
        <v/>
      </c>
      <c r="T141" s="20" t="n">
        <v>46692</v>
      </c>
      <c r="U141" s="20" t="n">
        <v>46740</v>
      </c>
      <c r="V141" s="8" t="n">
        <v>35</v>
      </c>
    </row>
    <row r="142">
      <c r="A142" s="8" t="inlineStr">
        <is>
          <t>SH-SPR</t>
        </is>
      </c>
      <c r="B142" s="8" t="inlineStr">
        <is>
          <t>Commissioning spares (per railway, allocated)</t>
        </is>
      </c>
      <c r="C142" s="8" t="inlineStr">
        <is>
          <t>HJD-P1070</t>
        </is>
      </c>
      <c r="D142" s="8" t="inlineStr">
        <is>
          <t>Delivery to station and receiving inspection - Jeddah</t>
        </is>
      </c>
      <c r="E142" s="8" t="inlineStr">
        <is>
          <t>PRO.HJD.LOG</t>
        </is>
      </c>
      <c r="F142" s="8" t="inlineStr">
        <is>
          <t>Procurement</t>
        </is>
      </c>
      <c r="G142" s="8" t="inlineStr">
        <is>
          <t>HJD</t>
        </is>
      </c>
      <c r="H142" s="8" t="inlineStr">
        <is>
          <t>MS4</t>
        </is>
      </c>
      <c r="I142" s="16" t="n">
        <v>0.2</v>
      </c>
      <c r="J142" s="10">
        <f>Station_BOQ!R8</f>
        <v/>
      </c>
      <c r="K142" s="9">
        <f>I142*62000000*J142</f>
        <v/>
      </c>
      <c r="L142" s="18" t="n">
        <v>0.05</v>
      </c>
      <c r="M142" s="9">
        <f>ROUND(K142*L142,0)</f>
        <v/>
      </c>
      <c r="N142" s="9" t="n">
        <v>95509</v>
      </c>
      <c r="O142" s="9">
        <f>N142-M142</f>
        <v/>
      </c>
      <c r="P142" s="8" t="inlineStr">
        <is>
          <t>MS4 Material delivery 20% x station price share 15.40% | Fixed key 5% (delivery, receiving) incl. commissioning spares</t>
        </is>
      </c>
      <c r="Q142" s="8" t="inlineStr">
        <is>
          <t>Annex 3 Commissioning spares (railway), allocated by hardware share</t>
        </is>
      </c>
      <c r="R142" s="9" t="n">
        <v>592</v>
      </c>
      <c r="S142" s="19">
        <f>R142/1000</f>
        <v/>
      </c>
      <c r="T142" s="20" t="n">
        <v>46741</v>
      </c>
      <c r="U142" s="20" t="n">
        <v>46747</v>
      </c>
      <c r="V142" s="8" t="n">
        <v>5</v>
      </c>
    </row>
    <row r="143">
      <c r="A143" s="8" t="inlineStr">
        <is>
          <t>A6</t>
        </is>
      </c>
      <c r="B143" s="8" t="inlineStr">
        <is>
          <t>A6 Civil works</t>
        </is>
      </c>
      <c r="C143" s="8" t="inlineStr">
        <is>
          <t>HJD-C1010</t>
        </is>
      </c>
      <c r="D143" s="8" t="inlineStr">
        <is>
          <t>Civil: platform trenches and duct banks - Jeddah</t>
        </is>
      </c>
      <c r="E143" s="8" t="inlineStr">
        <is>
          <t>CON.HJD.CIV</t>
        </is>
      </c>
      <c r="F143" s="8" t="inlineStr">
        <is>
          <t>Construction</t>
        </is>
      </c>
      <c r="G143" s="8" t="inlineStr">
        <is>
          <t>HJD</t>
        </is>
      </c>
      <c r="H143" s="8" t="inlineStr">
        <is>
          <t>MS5</t>
        </is>
      </c>
      <c r="I143" s="16" t="n">
        <v>0.2</v>
      </c>
      <c r="J143" s="10">
        <f>Station_BOQ!R8</f>
        <v/>
      </c>
      <c r="K143" s="9">
        <f>I143*62000000*J143</f>
        <v/>
      </c>
      <c r="L143" s="18" t="n">
        <v>0.04698367470443723</v>
      </c>
      <c r="M143" s="9">
        <f>ROUND(K143*L143,0)</f>
        <v/>
      </c>
      <c r="N143" s="9" t="n">
        <v>89747</v>
      </c>
      <c r="O143" s="9">
        <f>N143-M143</f>
        <v/>
      </c>
      <c r="P143" s="8" t="inlineStr">
        <is>
          <t>MS5 Installation 20% x station price share 15.40% | BOQ civil share 9.4% x 50% (trenches and duct banks)</t>
        </is>
      </c>
      <c r="Q143" s="8" t="inlineStr">
        <is>
          <t>Annex 3 A6 Civil works (SAR 521,718)</t>
        </is>
      </c>
      <c r="R143" s="9" t="n">
        <v>961</v>
      </c>
      <c r="S143" s="19">
        <f>R143/1000</f>
        <v/>
      </c>
      <c r="T143" s="20" t="n">
        <v>46586</v>
      </c>
      <c r="U143" s="20" t="n">
        <v>46645</v>
      </c>
      <c r="V143" s="8" t="n">
        <v>44</v>
      </c>
    </row>
    <row r="144">
      <c r="A144" s="8" t="inlineStr">
        <is>
          <t>A6</t>
        </is>
      </c>
      <c r="B144" s="8" t="inlineStr">
        <is>
          <t>A6 Civil works</t>
        </is>
      </c>
      <c r="C144" s="8" t="inlineStr">
        <is>
          <t>HJD-C1020</t>
        </is>
      </c>
      <c r="D144" s="8" t="inlineStr">
        <is>
          <t>Civil: camera and ALPR pole foundations and poles - Jeddah</t>
        </is>
      </c>
      <c r="E144" s="8" t="inlineStr">
        <is>
          <t>CON.HJD.CIV</t>
        </is>
      </c>
      <c r="F144" s="8" t="inlineStr">
        <is>
          <t>Construction</t>
        </is>
      </c>
      <c r="G144" s="8" t="inlineStr">
        <is>
          <t>HJD</t>
        </is>
      </c>
      <c r="H144" s="8" t="inlineStr">
        <is>
          <t>MS5</t>
        </is>
      </c>
      <c r="I144" s="16" t="n">
        <v>0.2</v>
      </c>
      <c r="J144" s="10">
        <f>Station_BOQ!R8</f>
        <v/>
      </c>
      <c r="K144" s="9">
        <f>I144*62000000*J144</f>
        <v/>
      </c>
      <c r="L144" s="18" t="n">
        <v>0.03758693976354979</v>
      </c>
      <c r="M144" s="9">
        <f>ROUND(K144*L144,0)</f>
        <v/>
      </c>
      <c r="N144" s="9" t="n">
        <v>71798</v>
      </c>
      <c r="O144" s="9">
        <f>N144-M144</f>
        <v/>
      </c>
      <c r="P144" s="8" t="inlineStr">
        <is>
          <t>MS5 Installation 20% x station price share 15.40% | BOQ civil share 9.4% x 40% (poles)</t>
        </is>
      </c>
      <c r="Q144" s="8" t="inlineStr">
        <is>
          <t>Annex 3 A6 Civil works (SAR 521,718)</t>
        </is>
      </c>
      <c r="R144" s="9" t="n">
        <v>739</v>
      </c>
      <c r="S144" s="19">
        <f>R144/1000</f>
        <v/>
      </c>
      <c r="T144" s="20" t="n">
        <v>46624</v>
      </c>
      <c r="U144" s="20" t="n">
        <v>46673</v>
      </c>
      <c r="V144" s="8" t="n">
        <v>35</v>
      </c>
    </row>
    <row r="145">
      <c r="A145" s="8" t="inlineStr">
        <is>
          <t>A1-A5</t>
        </is>
      </c>
      <c r="B145" s="8" t="inlineStr">
        <is>
          <t>A1 to A5 equipment sections: installation share (works included in unit prices)</t>
        </is>
      </c>
      <c r="C145" s="8" t="inlineStr">
        <is>
          <t>HJD-C2010</t>
        </is>
      </c>
      <c r="D145" s="8" t="inlineStr">
        <is>
          <t>Install UPS, network switches and field cabinets - Jeddah</t>
        </is>
      </c>
      <c r="E145" s="8" t="inlineStr">
        <is>
          <t>CON.HJD.INS</t>
        </is>
      </c>
      <c r="F145" s="8" t="inlineStr">
        <is>
          <t>Construction</t>
        </is>
      </c>
      <c r="G145" s="8" t="inlineStr">
        <is>
          <t>HJD</t>
        </is>
      </c>
      <c r="H145" s="8" t="inlineStr">
        <is>
          <t>MS5</t>
        </is>
      </c>
      <c r="I145" s="16" t="n">
        <v>0.2</v>
      </c>
      <c r="J145" s="10">
        <f>Station_BOQ!R8</f>
        <v/>
      </c>
      <c r="K145" s="9">
        <f>I145*62000000*J145</f>
        <v/>
      </c>
      <c r="L145" s="18" t="n">
        <v>0.1812065301182251</v>
      </c>
      <c r="M145" s="9">
        <f>ROUND(K145*L145,0)</f>
        <v/>
      </c>
      <c r="N145" s="9" t="n">
        <v>346136</v>
      </c>
      <c r="O145" s="9">
        <f>N145-M145</f>
        <v/>
      </c>
      <c r="P145" s="8" t="inlineStr">
        <is>
          <t>MS5 Installation 20% x station price share 15.40% | Installation key 20% x (1 - civil share 9.4%)</t>
        </is>
      </c>
      <c r="Q145" s="8" t="inlineStr">
        <is>
          <t>Annex 3 equipment sections A1-A5 (installation share)</t>
        </is>
      </c>
      <c r="R145" s="9" t="n">
        <v>444</v>
      </c>
      <c r="S145" s="19">
        <f>R145/1000</f>
        <v/>
      </c>
      <c r="T145" s="20" t="n">
        <v>46748</v>
      </c>
      <c r="U145" s="20" t="n">
        <v>46775</v>
      </c>
      <c r="V145" s="8" t="n">
        <v>20</v>
      </c>
    </row>
    <row r="146">
      <c r="A146" s="8" t="inlineStr">
        <is>
          <t>A1-A5</t>
        </is>
      </c>
      <c r="B146" s="8" t="inlineStr">
        <is>
          <t>A1 to A5 equipment sections: installation share (works included in unit prices)</t>
        </is>
      </c>
      <c r="C146" s="8" t="inlineStr">
        <is>
          <t>HJD-C2020</t>
        </is>
      </c>
      <c r="D146" s="8" t="inlineStr">
        <is>
          <t>Cabling and termination (power, fibre, data) - Jeddah</t>
        </is>
      </c>
      <c r="E146" s="8" t="inlineStr">
        <is>
          <t>CON.HJD.INS</t>
        </is>
      </c>
      <c r="F146" s="8" t="inlineStr">
        <is>
          <t>Construction</t>
        </is>
      </c>
      <c r="G146" s="8" t="inlineStr">
        <is>
          <t>HJD</t>
        </is>
      </c>
      <c r="H146" s="8" t="inlineStr">
        <is>
          <t>MS5</t>
        </is>
      </c>
      <c r="I146" s="16" t="n">
        <v>0.2</v>
      </c>
      <c r="J146" s="10">
        <f>Station_BOQ!R8</f>
        <v/>
      </c>
      <c r="K146" s="9">
        <f>I146*62000000*J146</f>
        <v/>
      </c>
      <c r="L146" s="18" t="n">
        <v>0.2718097951773377</v>
      </c>
      <c r="M146" s="9">
        <f>ROUND(K146*L146,0)</f>
        <v/>
      </c>
      <c r="N146" s="9" t="n">
        <v>519205</v>
      </c>
      <c r="O146" s="9">
        <f>N146-M146</f>
        <v/>
      </c>
      <c r="P146" s="8" t="inlineStr">
        <is>
          <t>MS5 Installation 20% x station price share 15.40% | Installation key 30% x (1 - civil share 9.4%)</t>
        </is>
      </c>
      <c r="Q146" s="8" t="inlineStr">
        <is>
          <t>Annex 3 equipment sections A1-A5 (installation share)</t>
        </is>
      </c>
      <c r="R146" s="9" t="n">
        <v>887</v>
      </c>
      <c r="S146" s="19">
        <f>R146/1000</f>
        <v/>
      </c>
      <c r="T146" s="20" t="n">
        <v>46757</v>
      </c>
      <c r="U146" s="20" t="n">
        <v>46811</v>
      </c>
      <c r="V146" s="8" t="n">
        <v>34</v>
      </c>
    </row>
    <row r="147">
      <c r="A147" s="8" t="inlineStr">
        <is>
          <t>A1-A5</t>
        </is>
      </c>
      <c r="B147" s="8" t="inlineStr">
        <is>
          <t>A1 to A5 equipment sections: installation share (works included in unit prices)</t>
        </is>
      </c>
      <c r="C147" s="8" t="inlineStr">
        <is>
          <t>HJD-C2030</t>
        </is>
      </c>
      <c r="D147" s="8" t="inlineStr">
        <is>
          <t>Install and aim CCTV cameras - Jeddah</t>
        </is>
      </c>
      <c r="E147" s="8" t="inlineStr">
        <is>
          <t>CON.HJD.INS</t>
        </is>
      </c>
      <c r="F147" s="8" t="inlineStr">
        <is>
          <t>Construction</t>
        </is>
      </c>
      <c r="G147" s="8" t="inlineStr">
        <is>
          <t>HJD</t>
        </is>
      </c>
      <c r="H147" s="8" t="inlineStr">
        <is>
          <t>MS5</t>
        </is>
      </c>
      <c r="I147" s="16" t="n">
        <v>0.2</v>
      </c>
      <c r="J147" s="10">
        <f>Station_BOQ!R8</f>
        <v/>
      </c>
      <c r="K147" s="9">
        <f>I147*62000000*J147</f>
        <v/>
      </c>
      <c r="L147" s="18" t="n">
        <v>0.2265081626477814</v>
      </c>
      <c r="M147" s="9">
        <f>ROUND(K147*L147,0)</f>
        <v/>
      </c>
      <c r="N147" s="9" t="n">
        <v>432670</v>
      </c>
      <c r="O147" s="9">
        <f>N147-M147</f>
        <v/>
      </c>
      <c r="P147" s="8" t="inlineStr">
        <is>
          <t>MS5 Installation 20% x station price share 15.40% | Installation key 25% x (1 - civil share 9.4%)</t>
        </is>
      </c>
      <c r="Q147" s="8" t="inlineStr">
        <is>
          <t>Annex 3 equipment sections A1-A5 (installation share)</t>
        </is>
      </c>
      <c r="R147" s="9" t="n">
        <v>739</v>
      </c>
      <c r="S147" s="19">
        <f>R147/1000</f>
        <v/>
      </c>
      <c r="T147" s="20" t="n">
        <v>46812</v>
      </c>
      <c r="U147" s="20" t="n">
        <v>46848</v>
      </c>
      <c r="V147" s="8" t="n">
        <v>27</v>
      </c>
    </row>
    <row r="148">
      <c r="A148" s="8" t="inlineStr">
        <is>
          <t>A1-A5</t>
        </is>
      </c>
      <c r="B148" s="8" t="inlineStr">
        <is>
          <t>A1 to A5 equipment sections: installation share (works included in unit prices)</t>
        </is>
      </c>
      <c r="C148" s="8" t="inlineStr">
        <is>
          <t>HJD-C2040</t>
        </is>
      </c>
      <c r="D148" s="8" t="inlineStr">
        <is>
          <t>Install video management, video wall and control-room equipment - Jeddah</t>
        </is>
      </c>
      <c r="E148" s="8" t="inlineStr">
        <is>
          <t>CON.HJD.INS</t>
        </is>
      </c>
      <c r="F148" s="8" t="inlineStr">
        <is>
          <t>Construction</t>
        </is>
      </c>
      <c r="G148" s="8" t="inlineStr">
        <is>
          <t>HJD</t>
        </is>
      </c>
      <c r="H148" s="8" t="inlineStr">
        <is>
          <t>MS5</t>
        </is>
      </c>
      <c r="I148" s="16" t="n">
        <v>0.2</v>
      </c>
      <c r="J148" s="10">
        <f>Station_BOQ!R8</f>
        <v/>
      </c>
      <c r="K148" s="9">
        <f>I148*62000000*J148</f>
        <v/>
      </c>
      <c r="L148" s="18" t="n">
        <v>0.1359048975886688</v>
      </c>
      <c r="M148" s="9">
        <f>ROUND(K148*L148,0)</f>
        <v/>
      </c>
      <c r="N148" s="9" t="n">
        <v>259602</v>
      </c>
      <c r="O148" s="9">
        <f>N148-M148</f>
        <v/>
      </c>
      <c r="P148" s="8" t="inlineStr">
        <is>
          <t>MS5 Installation 20% x station price share 15.40% | Installation key 15% x (1 - civil share 9.4%)</t>
        </is>
      </c>
      <c r="Q148" s="8" t="inlineStr">
        <is>
          <t>Annex 3 equipment sections A1-A5 (installation share)</t>
        </is>
      </c>
      <c r="R148" s="9" t="n">
        <v>444</v>
      </c>
      <c r="S148" s="19">
        <f>R148/1000</f>
        <v/>
      </c>
      <c r="T148" s="20" t="n">
        <v>46776</v>
      </c>
      <c r="U148" s="20" t="n">
        <v>46814</v>
      </c>
      <c r="V148" s="8" t="n">
        <v>24</v>
      </c>
    </row>
    <row r="149">
      <c r="A149" s="8" t="inlineStr">
        <is>
          <t>A1-A5</t>
        </is>
      </c>
      <c r="B149" s="8" t="inlineStr">
        <is>
          <t>A1 to A5 equipment sections: installation share (works included in unit prices)</t>
        </is>
      </c>
      <c r="C149" s="8" t="inlineStr">
        <is>
          <t>HJD-C2050</t>
        </is>
      </c>
      <c r="D149" s="8" t="inlineStr">
        <is>
          <t>Install access control and intercom - Jeddah</t>
        </is>
      </c>
      <c r="E149" s="8" t="inlineStr">
        <is>
          <t>CON.HJD.INS</t>
        </is>
      </c>
      <c r="F149" s="8" t="inlineStr">
        <is>
          <t>Construction</t>
        </is>
      </c>
      <c r="G149" s="8" t="inlineStr">
        <is>
          <t>HJD</t>
        </is>
      </c>
      <c r="H149" s="8" t="inlineStr">
        <is>
          <t>MS5</t>
        </is>
      </c>
      <c r="I149" s="16" t="n">
        <v>0.2</v>
      </c>
      <c r="J149" s="10">
        <f>Station_BOQ!R8</f>
        <v/>
      </c>
      <c r="K149" s="9">
        <f>I149*62000000*J149</f>
        <v/>
      </c>
      <c r="L149" s="18" t="n">
        <v>0.09060326505911256</v>
      </c>
      <c r="M149" s="9">
        <f>ROUND(K149*L149,0)</f>
        <v/>
      </c>
      <c r="N149" s="9" t="n">
        <v>173068</v>
      </c>
      <c r="O149" s="9">
        <f>N149-M149</f>
        <v/>
      </c>
      <c r="P149" s="8" t="inlineStr">
        <is>
          <t>MS5 Installation 20% x station price share 15.40% | Installation key 10% x (1 - civil share 9.4%)</t>
        </is>
      </c>
      <c r="Q149" s="8" t="inlineStr">
        <is>
          <t>Annex 3 equipment sections A1-A5 (installation share)</t>
        </is>
      </c>
      <c r="R149" s="9" t="n">
        <v>296</v>
      </c>
      <c r="S149" s="19">
        <f>R149/1000</f>
        <v/>
      </c>
      <c r="T149" s="20" t="n">
        <v>46785</v>
      </c>
      <c r="U149" s="20" t="n">
        <v>46819</v>
      </c>
      <c r="V149" s="8" t="n">
        <v>20</v>
      </c>
    </row>
    <row r="150">
      <c r="A150" s="8" t="inlineStr">
        <is>
          <t>A1-A5</t>
        </is>
      </c>
      <c r="B150" s="8" t="inlineStr">
        <is>
          <t>A1 to A5 equipment sections: testing and commissioning share</t>
        </is>
      </c>
      <c r="C150" s="8" t="inlineStr">
        <is>
          <t>HJD-T1010</t>
        </is>
      </c>
      <c r="D150" s="8" t="inlineStr">
        <is>
          <t>Pre-commissioning and loop checks - Jeddah</t>
        </is>
      </c>
      <c r="E150" s="8" t="inlineStr">
        <is>
          <t>COM.HJD.TST</t>
        </is>
      </c>
      <c r="F150" s="8" t="inlineStr">
        <is>
          <t>Commissioning and handover</t>
        </is>
      </c>
      <c r="G150" s="8" t="inlineStr">
        <is>
          <t>HJD</t>
        </is>
      </c>
      <c r="H150" s="8" t="inlineStr">
        <is>
          <t>MS6</t>
        </is>
      </c>
      <c r="I150" s="16" t="n">
        <v>0.1</v>
      </c>
      <c r="J150" s="10">
        <f>Station_BOQ!R8</f>
        <v/>
      </c>
      <c r="K150" s="9">
        <f>I150*62000000*J150</f>
        <v/>
      </c>
      <c r="L150" s="18" t="n">
        <v>0.4</v>
      </c>
      <c r="M150" s="9">
        <f>ROUND(K150*L150,0)</f>
        <v/>
      </c>
      <c r="N150" s="9" t="n">
        <v>382035</v>
      </c>
      <c r="O150" s="9">
        <f>N150-M150</f>
        <v/>
      </c>
      <c r="P150" s="8" t="inlineStr">
        <is>
          <t>MS6 Testing and commissioning (SAT) 10% x station price share 15.40% | Fixed key 40% of SAT milestone</t>
        </is>
      </c>
      <c r="Q150" s="8" t="inlineStr">
        <is>
          <t>Annex 3 equipment sections A1-A5 (testing share)</t>
        </is>
      </c>
      <c r="R150" s="9" t="n">
        <v>444</v>
      </c>
      <c r="S150" s="19">
        <f>R150/1000</f>
        <v/>
      </c>
      <c r="T150" s="20" t="n">
        <v>46849</v>
      </c>
      <c r="U150" s="20" t="n">
        <v>46862</v>
      </c>
      <c r="V150" s="8" t="n">
        <v>10</v>
      </c>
    </row>
    <row r="151">
      <c r="A151" s="8" t="inlineStr">
        <is>
          <t>A1-A5</t>
        </is>
      </c>
      <c r="B151" s="8" t="inlineStr">
        <is>
          <t>A1 to A5 equipment sections: testing and commissioning share</t>
        </is>
      </c>
      <c r="C151" s="8" t="inlineStr">
        <is>
          <t>HJD-T1020</t>
        </is>
      </c>
      <c r="D151" s="8" t="inlineStr">
        <is>
          <t>Site acceptance test (SAT) and commissioning - Jeddah</t>
        </is>
      </c>
      <c r="E151" s="8" t="inlineStr">
        <is>
          <t>COM.HJD.TST</t>
        </is>
      </c>
      <c r="F151" s="8" t="inlineStr">
        <is>
          <t>Commissioning and handover</t>
        </is>
      </c>
      <c r="G151" s="8" t="inlineStr">
        <is>
          <t>HJD</t>
        </is>
      </c>
      <c r="H151" s="8" t="inlineStr">
        <is>
          <t>MS6</t>
        </is>
      </c>
      <c r="I151" s="16" t="n">
        <v>0.1</v>
      </c>
      <c r="J151" s="10">
        <f>Station_BOQ!R8</f>
        <v/>
      </c>
      <c r="K151" s="9">
        <f>I151*62000000*J151</f>
        <v/>
      </c>
      <c r="L151" s="18" t="n">
        <v>0.6</v>
      </c>
      <c r="M151" s="9">
        <f>ROUND(K151*L151,0)</f>
        <v/>
      </c>
      <c r="N151" s="9" t="n">
        <v>573052</v>
      </c>
      <c r="O151" s="9">
        <f>N151-M151</f>
        <v/>
      </c>
      <c r="P151" s="8" t="inlineStr">
        <is>
          <t>MS6 Testing and commissioning (SAT) 10% x station price share 15.40% | Fixed key 60% of SAT milestone</t>
        </is>
      </c>
      <c r="Q151" s="8" t="inlineStr">
        <is>
          <t>Annex 3 equipment sections A1-A5 (testing share)</t>
        </is>
      </c>
      <c r="R151" s="9" t="n">
        <v>592</v>
      </c>
      <c r="S151" s="19">
        <f>R151/1000</f>
        <v/>
      </c>
      <c r="T151" s="20" t="n">
        <v>46863</v>
      </c>
      <c r="U151" s="20" t="n">
        <v>46891</v>
      </c>
      <c r="V151" s="8" t="n">
        <v>16</v>
      </c>
    </row>
    <row r="152">
      <c r="A152" s="8" t="inlineStr">
        <is>
          <t>SH-TRN</t>
        </is>
      </c>
      <c r="B152" s="8" t="inlineStr">
        <is>
          <t>Training (per railway, allocated)</t>
        </is>
      </c>
      <c r="C152" s="8" t="inlineStr">
        <is>
          <t>HJD-T2010</t>
        </is>
      </c>
      <c r="D152" s="8" t="inlineStr">
        <is>
          <t>Operator and maintenance training - Jeddah</t>
        </is>
      </c>
      <c r="E152" s="8" t="inlineStr">
        <is>
          <t>COM.HJD.TRN</t>
        </is>
      </c>
      <c r="F152" s="8" t="inlineStr">
        <is>
          <t>Commissioning and handover</t>
        </is>
      </c>
      <c r="G152" s="8" t="inlineStr">
        <is>
          <t>HJD</t>
        </is>
      </c>
      <c r="H152" s="8" t="inlineStr">
        <is>
          <t>MS7</t>
        </is>
      </c>
      <c r="I152" s="16" t="n">
        <v>0.1</v>
      </c>
      <c r="J152" s="10">
        <f>Station_BOQ!R8</f>
        <v/>
      </c>
      <c r="K152" s="9">
        <f>I152*62000000*J152</f>
        <v/>
      </c>
      <c r="L152" s="18" t="n">
        <v>0.15</v>
      </c>
      <c r="M152" s="9">
        <f>ROUND(K152*L152,0)</f>
        <v/>
      </c>
      <c r="N152" s="9" t="n">
        <v>143263</v>
      </c>
      <c r="O152" s="9">
        <f>N152-M152</f>
        <v/>
      </c>
      <c r="P152" s="8" t="inlineStr">
        <is>
          <t>MS7 Final acceptance and handover 10% x station price share 15.40% | Fixed key 15%</t>
        </is>
      </c>
      <c r="Q152" s="8" t="inlineStr">
        <is>
          <t>Annex 3 Training (railway), allocated by hardware share</t>
        </is>
      </c>
      <c r="R152" s="9" t="n">
        <v>296</v>
      </c>
      <c r="S152" s="19">
        <f>R152/1000</f>
        <v/>
      </c>
      <c r="T152" s="20" t="n">
        <v>46894</v>
      </c>
      <c r="U152" s="20" t="n">
        <v>46905</v>
      </c>
      <c r="V152" s="8" t="n">
        <v>10</v>
      </c>
    </row>
    <row r="153">
      <c r="A153" s="8" t="inlineStr">
        <is>
          <t>A1-A5</t>
        </is>
      </c>
      <c r="B153" s="8" t="inlineStr">
        <is>
          <t>A1 to A5 equipment sections: trial operation share</t>
        </is>
      </c>
      <c r="C153" s="8" t="inlineStr">
        <is>
          <t>HJD-T2020</t>
        </is>
      </c>
      <c r="D153" s="8" t="inlineStr">
        <is>
          <t>Trial operation (maximum 45 days) - Jeddah</t>
        </is>
      </c>
      <c r="E153" s="8" t="inlineStr">
        <is>
          <t>COM.HJD.TOA</t>
        </is>
      </c>
      <c r="F153" s="8" t="inlineStr">
        <is>
          <t>Commissioning and handover</t>
        </is>
      </c>
      <c r="G153" s="8" t="inlineStr">
        <is>
          <t>HJD</t>
        </is>
      </c>
      <c r="H153" s="8" t="inlineStr">
        <is>
          <t>MS7</t>
        </is>
      </c>
      <c r="I153" s="16" t="n">
        <v>0.1</v>
      </c>
      <c r="J153" s="10">
        <f>Station_BOQ!R8</f>
        <v/>
      </c>
      <c r="K153" s="9">
        <f>I153*62000000*J153</f>
        <v/>
      </c>
      <c r="L153" s="18" t="n">
        <v>0.35</v>
      </c>
      <c r="M153" s="9">
        <f>ROUND(K153*L153,0)</f>
        <v/>
      </c>
      <c r="N153" s="9" t="n">
        <v>334281</v>
      </c>
      <c r="O153" s="9">
        <f>N153-M153</f>
        <v/>
      </c>
      <c r="P153" s="8" t="inlineStr">
        <is>
          <t>MS7 Final acceptance and handover 10% x station price share 15.40% | Fixed key 35%</t>
        </is>
      </c>
      <c r="Q153" s="8" t="inlineStr">
        <is>
          <t>Annex 3 equipment sections A1-A5 (trial operation share)</t>
        </is>
      </c>
      <c r="R153" s="9" t="n">
        <v>444</v>
      </c>
      <c r="S153" s="19">
        <f>R153/1000</f>
        <v/>
      </c>
      <c r="T153" s="20" t="n">
        <v>46894</v>
      </c>
      <c r="U153" s="20" t="n">
        <v>46933</v>
      </c>
      <c r="V153" s="8" t="n">
        <v>30</v>
      </c>
    </row>
    <row r="154">
      <c r="A154" s="8" t="inlineStr">
        <is>
          <t>A1-A5</t>
        </is>
      </c>
      <c r="B154" s="8" t="inlineStr">
        <is>
          <t>A1 to A5 equipment sections: handover share</t>
        </is>
      </c>
      <c r="C154" s="8" t="inlineStr">
        <is>
          <t>HJD-T3010</t>
        </is>
      </c>
      <c r="D154" s="8" t="inlineStr">
        <is>
          <t>Taking-over application, SAR review and handover - Jeddah</t>
        </is>
      </c>
      <c r="E154" s="8" t="inlineStr">
        <is>
          <t>COM.HJD.TOA</t>
        </is>
      </c>
      <c r="F154" s="8" t="inlineStr">
        <is>
          <t>Commissioning and handover</t>
        </is>
      </c>
      <c r="G154" s="8" t="inlineStr">
        <is>
          <t>HJD</t>
        </is>
      </c>
      <c r="H154" s="8" t="inlineStr">
        <is>
          <t>MS7</t>
        </is>
      </c>
      <c r="I154" s="16" t="n">
        <v>0.1</v>
      </c>
      <c r="J154" s="10">
        <f>Station_BOQ!R8</f>
        <v/>
      </c>
      <c r="K154" s="9">
        <f>I154*62000000*J154</f>
        <v/>
      </c>
      <c r="L154" s="18" t="n">
        <v>0.3</v>
      </c>
      <c r="M154" s="9">
        <f>ROUND(K154*L154,0)</f>
        <v/>
      </c>
      <c r="N154" s="9" t="n">
        <v>286526</v>
      </c>
      <c r="O154" s="9">
        <f>N154-M154</f>
        <v/>
      </c>
      <c r="P154" s="8" t="inlineStr">
        <is>
          <t>MS7 Final acceptance and handover 10% x station price share 15.40% | Fixed key 30%</t>
        </is>
      </c>
      <c r="Q154" s="8" t="inlineStr">
        <is>
          <t>Annex 3 equipment sections A1-A5 (handover share)</t>
        </is>
      </c>
      <c r="R154" s="9" t="n">
        <v>444</v>
      </c>
      <c r="S154" s="19">
        <f>R154/1000</f>
        <v/>
      </c>
      <c r="T154" s="20" t="n">
        <v>46936</v>
      </c>
      <c r="U154" s="20" t="n">
        <v>46965</v>
      </c>
      <c r="V154" s="8" t="n">
        <v>22</v>
      </c>
    </row>
    <row r="155">
      <c r="A155" s="8" t="inlineStr">
        <is>
          <t>SH-DES</t>
        </is>
      </c>
      <c r="B155" s="8" t="inlineStr">
        <is>
          <t>Design and engineering package (per railway, allocated to the station)</t>
        </is>
      </c>
      <c r="C155" s="8" t="inlineStr">
        <is>
          <t>EDM-E1010</t>
        </is>
      </c>
      <c r="D155" s="8" t="inlineStr">
        <is>
          <t>Survey: submittal of site survey and as-found report - Dammam</t>
        </is>
      </c>
      <c r="E155" s="8" t="inlineStr">
        <is>
          <t>ENG.EDM.SRV.SUB</t>
        </is>
      </c>
      <c r="F155" s="8" t="inlineStr">
        <is>
          <t>Engineering</t>
        </is>
      </c>
      <c r="G155" s="8" t="inlineStr">
        <is>
          <t>EDM</t>
        </is>
      </c>
      <c r="H155" s="8" t="inlineStr">
        <is>
          <t>MS2</t>
        </is>
      </c>
      <c r="I155" s="16" t="n">
        <v>0.1</v>
      </c>
      <c r="J155" s="10">
        <f>Station_BOQ!R9</f>
        <v/>
      </c>
      <c r="K155" s="9">
        <f>I155*62000000*J155</f>
        <v/>
      </c>
      <c r="L155" s="18" t="n">
        <v>0.06900000000000001</v>
      </c>
      <c r="M155" s="9">
        <f>ROUND(K155*L155,0)</f>
        <v/>
      </c>
      <c r="N155" s="9" t="n">
        <v>21994</v>
      </c>
      <c r="O155" s="9">
        <f>N155-M155</f>
        <v/>
      </c>
      <c r="P155" s="8" t="inlineStr">
        <is>
          <t>MS2 Engineering submittal 10% x station price share 5.14% | Design stage key 6.9% of the engineering-submittal milestone</t>
        </is>
      </c>
      <c r="Q155" s="8" t="inlineStr">
        <is>
          <t>Annex 3 Design and engineering package (railway) allocated by station hardware share</t>
        </is>
      </c>
      <c r="R155" s="9" t="n">
        <v>28</v>
      </c>
      <c r="S155" s="19">
        <f>R155/1000</f>
        <v/>
      </c>
      <c r="T155" s="20" t="n">
        <v>46551</v>
      </c>
      <c r="U155" s="20" t="n">
        <v>46560</v>
      </c>
      <c r="V155" s="8" t="n">
        <v>8</v>
      </c>
    </row>
    <row r="156">
      <c r="A156" s="8" t="inlineStr">
        <is>
          <t>SH-DES</t>
        </is>
      </c>
      <c r="B156" s="8" t="inlineStr">
        <is>
          <t>Design and engineering package (per railway, allocated to the station)</t>
        </is>
      </c>
      <c r="C156" s="8" t="inlineStr">
        <is>
          <t>EDM-E1020</t>
        </is>
      </c>
      <c r="D156" s="8" t="inlineStr">
        <is>
          <t>Survey: SAR approval of survey report - Dammam</t>
        </is>
      </c>
      <c r="E156" s="8" t="inlineStr">
        <is>
          <t>ENG.EDM.SRV.APR</t>
        </is>
      </c>
      <c r="F156" s="8" t="inlineStr">
        <is>
          <t>Engineering</t>
        </is>
      </c>
      <c r="G156" s="8" t="inlineStr">
        <is>
          <t>EDM</t>
        </is>
      </c>
      <c r="H156" s="8" t="inlineStr">
        <is>
          <t>MS3</t>
        </is>
      </c>
      <c r="I156" s="16" t="n">
        <v>0.1</v>
      </c>
      <c r="J156" s="10">
        <f>Station_BOQ!R9</f>
        <v/>
      </c>
      <c r="K156" s="9">
        <f>I156*62000000*J156</f>
        <v/>
      </c>
      <c r="L156" s="18" t="n">
        <v>0.05</v>
      </c>
      <c r="M156" s="9">
        <f>ROUND(K156*L156,0)</f>
        <v/>
      </c>
      <c r="N156" s="9" t="n">
        <v>15938</v>
      </c>
      <c r="O156" s="9">
        <f>N156-M156</f>
        <v/>
      </c>
      <c r="P156" s="8" t="inlineStr">
        <is>
          <t>MS3 SAR approval of engineering 10% x station price share 5.14% | Design stage key 5.0% of the SAR-approval milestone</t>
        </is>
      </c>
      <c r="Q156" s="8" t="inlineStr">
        <is>
          <t>Annex 3 Design and engineering package (railway) allocated by station hardware share</t>
        </is>
      </c>
      <c r="R156" s="9" t="n">
        <v>30</v>
      </c>
      <c r="S156" s="19">
        <f>R156/1000</f>
        <v/>
      </c>
      <c r="T156" s="20" t="n">
        <v>46561</v>
      </c>
      <c r="U156" s="20" t="n">
        <v>46581</v>
      </c>
      <c r="V156" s="8" t="n">
        <v>15</v>
      </c>
    </row>
    <row r="157">
      <c r="A157" s="8" t="inlineStr">
        <is>
          <t>SH-DES</t>
        </is>
      </c>
      <c r="B157" s="8" t="inlineStr">
        <is>
          <t>Design and engineering package (per railway, allocated to the station)</t>
        </is>
      </c>
      <c r="C157" s="8" t="inlineStr">
        <is>
          <t>EDM-E1030</t>
        </is>
      </c>
      <c r="D157" s="8" t="inlineStr">
        <is>
          <t>Concept design: submittal - Dammam</t>
        </is>
      </c>
      <c r="E157" s="8" t="inlineStr">
        <is>
          <t>ENG.EDM.CNC.SUB</t>
        </is>
      </c>
      <c r="F157" s="8" t="inlineStr">
        <is>
          <t>Engineering</t>
        </is>
      </c>
      <c r="G157" s="8" t="inlineStr">
        <is>
          <t>EDM</t>
        </is>
      </c>
      <c r="H157" s="8" t="inlineStr">
        <is>
          <t>MS2</t>
        </is>
      </c>
      <c r="I157" s="16" t="n">
        <v>0.1</v>
      </c>
      <c r="J157" s="10">
        <f>Station_BOQ!R9</f>
        <v/>
      </c>
      <c r="K157" s="9">
        <f>I157*62000000*J157</f>
        <v/>
      </c>
      <c r="L157" s="18" t="n">
        <v>0.098</v>
      </c>
      <c r="M157" s="9">
        <f>ROUND(K157*L157,0)</f>
        <v/>
      </c>
      <c r="N157" s="9" t="n">
        <v>31238</v>
      </c>
      <c r="O157" s="9">
        <f>N157-M157</f>
        <v/>
      </c>
      <c r="P157" s="8" t="inlineStr">
        <is>
          <t>MS2 Engineering submittal 10% x station price share 5.14% | Design stage key 9.8% of the engineering-submittal milestone</t>
        </is>
      </c>
      <c r="Q157" s="8" t="inlineStr">
        <is>
          <t>Annex 3 Design and engineering package (railway) allocated by station hardware share</t>
        </is>
      </c>
      <c r="R157" s="9" t="n">
        <v>23</v>
      </c>
      <c r="S157" s="19">
        <f>R157/1000</f>
        <v/>
      </c>
      <c r="T157" s="20" t="n">
        <v>46561</v>
      </c>
      <c r="U157" s="20" t="n">
        <v>46574</v>
      </c>
      <c r="V157" s="8" t="n">
        <v>10</v>
      </c>
    </row>
    <row r="158">
      <c r="A158" s="8" t="inlineStr">
        <is>
          <t>SH-DES</t>
        </is>
      </c>
      <c r="B158" s="8" t="inlineStr">
        <is>
          <t>Design and engineering package (per railway, allocated to the station)</t>
        </is>
      </c>
      <c r="C158" s="8" t="inlineStr">
        <is>
          <t>EDM-E1040</t>
        </is>
      </c>
      <c r="D158" s="8" t="inlineStr">
        <is>
          <t>Concept design: SAR review and approval - Dammam</t>
        </is>
      </c>
      <c r="E158" s="8" t="inlineStr">
        <is>
          <t>ENG.EDM.CNC.APR</t>
        </is>
      </c>
      <c r="F158" s="8" t="inlineStr">
        <is>
          <t>Engineering</t>
        </is>
      </c>
      <c r="G158" s="8" t="inlineStr">
        <is>
          <t>EDM</t>
        </is>
      </c>
      <c r="H158" s="8" t="inlineStr">
        <is>
          <t>MS3</t>
        </is>
      </c>
      <c r="I158" s="16" t="n">
        <v>0.1</v>
      </c>
      <c r="J158" s="10">
        <f>Station_BOQ!R9</f>
        <v/>
      </c>
      <c r="K158" s="9">
        <f>I158*62000000*J158</f>
        <v/>
      </c>
      <c r="L158" s="18" t="n">
        <v>0.1</v>
      </c>
      <c r="M158" s="9">
        <f>ROUND(K158*L158,0)</f>
        <v/>
      </c>
      <c r="N158" s="9" t="n">
        <v>31875</v>
      </c>
      <c r="O158" s="9">
        <f>N158-M158</f>
        <v/>
      </c>
      <c r="P158" s="8" t="inlineStr">
        <is>
          <t>MS3 SAR approval of engineering 10% x station price share 5.14% | Design stage key 10.0% of the SAR-approval milestone</t>
        </is>
      </c>
      <c r="Q158" s="8" t="inlineStr">
        <is>
          <t>Annex 3 Design and engineering package (railway) allocated by station hardware share</t>
        </is>
      </c>
      <c r="R158" s="9" t="n">
        <v>35</v>
      </c>
      <c r="S158" s="19">
        <f>R158/1000</f>
        <v/>
      </c>
      <c r="T158" s="20" t="n">
        <v>46575</v>
      </c>
      <c r="U158" s="20" t="n">
        <v>46595</v>
      </c>
      <c r="V158" s="8" t="n">
        <v>15</v>
      </c>
    </row>
    <row r="159">
      <c r="A159" s="8" t="inlineStr">
        <is>
          <t>SH-DES</t>
        </is>
      </c>
      <c r="B159" s="8" t="inlineStr">
        <is>
          <t>Design and engineering package (per railway, allocated to the station)</t>
        </is>
      </c>
      <c r="C159" s="8" t="inlineStr">
        <is>
          <t>EDM-E1050</t>
        </is>
      </c>
      <c r="D159" s="8" t="inlineStr">
        <is>
          <t>Preliminary design: submittal - Dammam</t>
        </is>
      </c>
      <c r="E159" s="8" t="inlineStr">
        <is>
          <t>ENG.EDM.PRE.SUB</t>
        </is>
      </c>
      <c r="F159" s="8" t="inlineStr">
        <is>
          <t>Engineering</t>
        </is>
      </c>
      <c r="G159" s="8" t="inlineStr">
        <is>
          <t>EDM</t>
        </is>
      </c>
      <c r="H159" s="8" t="inlineStr">
        <is>
          <t>MS2</t>
        </is>
      </c>
      <c r="I159" s="16" t="n">
        <v>0.1</v>
      </c>
      <c r="J159" s="10">
        <f>Station_BOQ!R9</f>
        <v/>
      </c>
      <c r="K159" s="9">
        <f>I159*62000000*J159</f>
        <v/>
      </c>
      <c r="L159" s="18" t="n">
        <v>0.196</v>
      </c>
      <c r="M159" s="9">
        <f>ROUND(K159*L159,0)</f>
        <v/>
      </c>
      <c r="N159" s="9" t="n">
        <v>62475</v>
      </c>
      <c r="O159" s="9">
        <f>N159-M159</f>
        <v/>
      </c>
      <c r="P159" s="8" t="inlineStr">
        <is>
          <t>MS2 Engineering submittal 10% x station price share 5.14% | Design stage key 19.6% of the engineering-submittal milestone</t>
        </is>
      </c>
      <c r="Q159" s="8" t="inlineStr">
        <is>
          <t>Annex 3 Design and engineering package (railway) allocated by station hardware share</t>
        </is>
      </c>
      <c r="R159" s="9" t="n">
        <v>54</v>
      </c>
      <c r="S159" s="19">
        <f>R159/1000</f>
        <v/>
      </c>
      <c r="T159" s="20" t="n">
        <v>46575</v>
      </c>
      <c r="U159" s="20" t="n">
        <v>46596</v>
      </c>
      <c r="V159" s="8" t="n">
        <v>16</v>
      </c>
    </row>
    <row r="160">
      <c r="A160" s="8" t="inlineStr">
        <is>
          <t>SH-DES</t>
        </is>
      </c>
      <c r="B160" s="8" t="inlineStr">
        <is>
          <t>Design and engineering package (per railway, allocated to the station)</t>
        </is>
      </c>
      <c r="C160" s="8" t="inlineStr">
        <is>
          <t>EDM-E1060</t>
        </is>
      </c>
      <c r="D160" s="8" t="inlineStr">
        <is>
          <t>Preliminary design: SAR review and approval - Dammam</t>
        </is>
      </c>
      <c r="E160" s="8" t="inlineStr">
        <is>
          <t>ENG.EDM.PRE.APR</t>
        </is>
      </c>
      <c r="F160" s="8" t="inlineStr">
        <is>
          <t>Engineering</t>
        </is>
      </c>
      <c r="G160" s="8" t="inlineStr">
        <is>
          <t>EDM</t>
        </is>
      </c>
      <c r="H160" s="8" t="inlineStr">
        <is>
          <t>MS3</t>
        </is>
      </c>
      <c r="I160" s="16" t="n">
        <v>0.1</v>
      </c>
      <c r="J160" s="10">
        <f>Station_BOQ!R9</f>
        <v/>
      </c>
      <c r="K160" s="9">
        <f>I160*62000000*J160</f>
        <v/>
      </c>
      <c r="L160" s="18" t="n">
        <v>0.2</v>
      </c>
      <c r="M160" s="9">
        <f>ROUND(K160*L160,0)</f>
        <v/>
      </c>
      <c r="N160" s="9" t="n">
        <v>63750</v>
      </c>
      <c r="O160" s="9">
        <f>N160-M160</f>
        <v/>
      </c>
      <c r="P160" s="8" t="inlineStr">
        <is>
          <t>MS3 SAR approval of engineering 10% x station price share 5.14% | Design stage key 20.0% of the SAR-approval milestone</t>
        </is>
      </c>
      <c r="Q160" s="8" t="inlineStr">
        <is>
          <t>Annex 3 Design and engineering package (railway) allocated by station hardware share</t>
        </is>
      </c>
      <c r="R160" s="9" t="n">
        <v>51</v>
      </c>
      <c r="S160" s="19">
        <f>R160/1000</f>
        <v/>
      </c>
      <c r="T160" s="20" t="n">
        <v>46597</v>
      </c>
      <c r="U160" s="20" t="n">
        <v>46617</v>
      </c>
      <c r="V160" s="8" t="n">
        <v>15</v>
      </c>
    </row>
    <row r="161">
      <c r="A161" s="8" t="inlineStr">
        <is>
          <t>SH-DES</t>
        </is>
      </c>
      <c r="B161" s="8" t="inlineStr">
        <is>
          <t>Design and engineering package (per railway, allocated to the station)</t>
        </is>
      </c>
      <c r="C161" s="8" t="inlineStr">
        <is>
          <t>EDM-E1070</t>
        </is>
      </c>
      <c r="D161" s="8" t="inlineStr">
        <is>
          <t>Detailed design: submittal (drawings, BOQ, data sheets) - Dammam</t>
        </is>
      </c>
      <c r="E161" s="8" t="inlineStr">
        <is>
          <t>ENG.EDM.DET.SUB</t>
        </is>
      </c>
      <c r="F161" s="8" t="inlineStr">
        <is>
          <t>Engineering</t>
        </is>
      </c>
      <c r="G161" s="8" t="inlineStr">
        <is>
          <t>EDM</t>
        </is>
      </c>
      <c r="H161" s="8" t="inlineStr">
        <is>
          <t>MS2</t>
        </is>
      </c>
      <c r="I161" s="16" t="n">
        <v>0.1</v>
      </c>
      <c r="J161" s="10">
        <f>Station_BOQ!R9</f>
        <v/>
      </c>
      <c r="K161" s="9">
        <f>I161*62000000*J161</f>
        <v/>
      </c>
      <c r="L161" s="18" t="n">
        <v>0.392</v>
      </c>
      <c r="M161" s="9">
        <f>ROUND(K161*L161,0)</f>
        <v/>
      </c>
      <c r="N161" s="9" t="n">
        <v>124950</v>
      </c>
      <c r="O161" s="9">
        <f>N161-M161</f>
        <v/>
      </c>
      <c r="P161" s="8" t="inlineStr">
        <is>
          <t>MS2 Engineering submittal 10% x station price share 5.14% | Design stage key 39.2% of the engineering-submittal milestone</t>
        </is>
      </c>
      <c r="Q161" s="8" t="inlineStr">
        <is>
          <t>Annex 3 Design and engineering package (railway) allocated by station hardware share</t>
        </is>
      </c>
      <c r="R161" s="9" t="n">
        <v>110</v>
      </c>
      <c r="S161" s="19">
        <f>R161/1000</f>
        <v/>
      </c>
      <c r="T161" s="20" t="n">
        <v>46597</v>
      </c>
      <c r="U161" s="20" t="n">
        <v>46632</v>
      </c>
      <c r="V161" s="8" t="n">
        <v>26</v>
      </c>
    </row>
    <row r="162">
      <c r="A162" s="8" t="inlineStr">
        <is>
          <t>SH-DES</t>
        </is>
      </c>
      <c r="B162" s="8" t="inlineStr">
        <is>
          <t>Design and engineering package (per railway, allocated to the station)</t>
        </is>
      </c>
      <c r="C162" s="8" t="inlineStr">
        <is>
          <t>EDM-E1080</t>
        </is>
      </c>
      <c r="D162" s="8" t="inlineStr">
        <is>
          <t>Detailed design: SAR review and approval - Dammam</t>
        </is>
      </c>
      <c r="E162" s="8" t="inlineStr">
        <is>
          <t>ENG.EDM.DET.APR</t>
        </is>
      </c>
      <c r="F162" s="8" t="inlineStr">
        <is>
          <t>Engineering</t>
        </is>
      </c>
      <c r="G162" s="8" t="inlineStr">
        <is>
          <t>EDM</t>
        </is>
      </c>
      <c r="H162" s="8" t="inlineStr">
        <is>
          <t>MS3</t>
        </is>
      </c>
      <c r="I162" s="16" t="n">
        <v>0.1</v>
      </c>
      <c r="J162" s="10">
        <f>Station_BOQ!R9</f>
        <v/>
      </c>
      <c r="K162" s="9">
        <f>I162*62000000*J162</f>
        <v/>
      </c>
      <c r="L162" s="18" t="n">
        <v>0.4</v>
      </c>
      <c r="M162" s="9">
        <f>ROUND(K162*L162,0)</f>
        <v/>
      </c>
      <c r="N162" s="9" t="n">
        <v>127500</v>
      </c>
      <c r="O162" s="9">
        <f>N162-M162</f>
        <v/>
      </c>
      <c r="P162" s="8" t="inlineStr">
        <is>
          <t>MS3 SAR approval of engineering 10% x station price share 5.14% | Design stage key 40.0% of the SAR-approval milestone</t>
        </is>
      </c>
      <c r="Q162" s="8" t="inlineStr">
        <is>
          <t>Annex 3 Design and engineering package (railway) allocated by station hardware share</t>
        </is>
      </c>
      <c r="R162" s="9" t="n">
        <v>64</v>
      </c>
      <c r="S162" s="19">
        <f>R162/1000</f>
        <v/>
      </c>
      <c r="T162" s="20" t="n">
        <v>46635</v>
      </c>
      <c r="U162" s="20" t="n">
        <v>46656</v>
      </c>
      <c r="V162" s="8" t="n">
        <v>15</v>
      </c>
    </row>
    <row r="163">
      <c r="A163" s="8" t="inlineStr">
        <is>
          <t>SH-DES</t>
        </is>
      </c>
      <c r="B163" s="8" t="inlineStr">
        <is>
          <t>Design and engineering package (per railway, allocated to the station)</t>
        </is>
      </c>
      <c r="C163" s="8" t="inlineStr">
        <is>
          <t>EDM-E1090</t>
        </is>
      </c>
      <c r="D163" s="8" t="inlineStr">
        <is>
          <t>IFC and shop drawings: submittal - Dammam</t>
        </is>
      </c>
      <c r="E163" s="8" t="inlineStr">
        <is>
          <t>ENG.EDM.IFC.SUB</t>
        </is>
      </c>
      <c r="F163" s="8" t="inlineStr">
        <is>
          <t>Engineering</t>
        </is>
      </c>
      <c r="G163" s="8" t="inlineStr">
        <is>
          <t>EDM</t>
        </is>
      </c>
      <c r="H163" s="8" t="inlineStr">
        <is>
          <t>MS2</t>
        </is>
      </c>
      <c r="I163" s="16" t="n">
        <v>0.1</v>
      </c>
      <c r="J163" s="10">
        <f>Station_BOQ!R9</f>
        <v/>
      </c>
      <c r="K163" s="9">
        <f>I163*62000000*J163</f>
        <v/>
      </c>
      <c r="L163" s="18" t="n">
        <v>0.196</v>
      </c>
      <c r="M163" s="9">
        <f>ROUND(K163*L163,0)</f>
        <v/>
      </c>
      <c r="N163" s="9" t="n">
        <v>62475</v>
      </c>
      <c r="O163" s="9">
        <f>N163-M163</f>
        <v/>
      </c>
      <c r="P163" s="8" t="inlineStr">
        <is>
          <t>MS2 Engineering submittal 10% x station price share 5.14% | Design stage key 19.6% of the engineering-submittal milestone</t>
        </is>
      </c>
      <c r="Q163" s="8" t="inlineStr">
        <is>
          <t>Annex 3 Design and engineering package (railway) allocated by station hardware share</t>
        </is>
      </c>
      <c r="R163" s="9" t="n">
        <v>46</v>
      </c>
      <c r="S163" s="19">
        <f>R163/1000</f>
        <v/>
      </c>
      <c r="T163" s="20" t="n">
        <v>46635</v>
      </c>
      <c r="U163" s="20" t="n">
        <v>46650</v>
      </c>
      <c r="V163" s="8" t="n">
        <v>12</v>
      </c>
    </row>
    <row r="164">
      <c r="A164" s="8" t="inlineStr">
        <is>
          <t>SH-DES</t>
        </is>
      </c>
      <c r="B164" s="8" t="inlineStr">
        <is>
          <t>Design and engineering package (per railway, allocated to the station)</t>
        </is>
      </c>
      <c r="C164" s="8" t="inlineStr">
        <is>
          <t>EDM-E1100</t>
        </is>
      </c>
      <c r="D164" s="8" t="inlineStr">
        <is>
          <t>IFC and shop drawings: SAR approval and release - Dammam</t>
        </is>
      </c>
      <c r="E164" s="8" t="inlineStr">
        <is>
          <t>ENG.EDM.IFC.APR</t>
        </is>
      </c>
      <c r="F164" s="8" t="inlineStr">
        <is>
          <t>Engineering</t>
        </is>
      </c>
      <c r="G164" s="8" t="inlineStr">
        <is>
          <t>EDM</t>
        </is>
      </c>
      <c r="H164" s="8" t="inlineStr">
        <is>
          <t>MS3</t>
        </is>
      </c>
      <c r="I164" s="16" t="n">
        <v>0.1</v>
      </c>
      <c r="J164" s="10">
        <f>Station_BOQ!R9</f>
        <v/>
      </c>
      <c r="K164" s="9">
        <f>I164*62000000*J164</f>
        <v/>
      </c>
      <c r="L164" s="18" t="n">
        <v>0.2</v>
      </c>
      <c r="M164" s="9">
        <f>ROUND(K164*L164,0)</f>
        <v/>
      </c>
      <c r="N164" s="9" t="n">
        <v>63750</v>
      </c>
      <c r="O164" s="9">
        <f>N164-M164</f>
        <v/>
      </c>
      <c r="P164" s="8" t="inlineStr">
        <is>
          <t>MS3 SAR approval of engineering 10% x station price share 5.14% | Design stage key 20.0% of the SAR-approval milestone</t>
        </is>
      </c>
      <c r="Q164" s="8" t="inlineStr">
        <is>
          <t>Annex 3 Design and engineering package (railway) allocated by station hardware share</t>
        </is>
      </c>
      <c r="R164" s="9" t="n">
        <v>58</v>
      </c>
      <c r="S164" s="19">
        <f>R164/1000</f>
        <v/>
      </c>
      <c r="T164" s="20" t="n">
        <v>46651</v>
      </c>
      <c r="U164" s="20" t="n">
        <v>46672</v>
      </c>
      <c r="V164" s="8" t="n">
        <v>15</v>
      </c>
    </row>
    <row r="165">
      <c r="A165" s="8" t="inlineStr">
        <is>
          <t>SH-DES</t>
        </is>
      </c>
      <c r="B165" s="8" t="inlineStr">
        <is>
          <t>Design and engineering package (per railway, allocated to the station)</t>
        </is>
      </c>
      <c r="C165" s="8" t="inlineStr">
        <is>
          <t>EDM-E1110</t>
        </is>
      </c>
      <c r="D165" s="8" t="inlineStr">
        <is>
          <t>HCIS Stage 3 and 4 documents: preparation - Dammam</t>
        </is>
      </c>
      <c r="E165" s="8" t="inlineStr">
        <is>
          <t>ENG.EDM.HCS.SUB</t>
        </is>
      </c>
      <c r="F165" s="8" t="inlineStr">
        <is>
          <t>Engineering</t>
        </is>
      </c>
      <c r="G165" s="8" t="inlineStr">
        <is>
          <t>EDM</t>
        </is>
      </c>
      <c r="H165" s="8" t="inlineStr">
        <is>
          <t>MS2</t>
        </is>
      </c>
      <c r="I165" s="16" t="n">
        <v>0.1</v>
      </c>
      <c r="J165" s="10">
        <f>Station_BOQ!R9</f>
        <v/>
      </c>
      <c r="K165" s="9">
        <f>I165*62000000*J165</f>
        <v/>
      </c>
      <c r="L165" s="18" t="n">
        <v>0.049</v>
      </c>
      <c r="M165" s="9">
        <f>ROUND(K165*L165,0)</f>
        <v/>
      </c>
      <c r="N165" s="9" t="n">
        <v>15619</v>
      </c>
      <c r="O165" s="9">
        <f>N165-M165</f>
        <v/>
      </c>
      <c r="P165" s="8" t="inlineStr">
        <is>
          <t>MS2 Engineering submittal 10% x station price share 5.14% | Design stage key 4.9% of the engineering-submittal milestone</t>
        </is>
      </c>
      <c r="Q165" s="8" t="inlineStr">
        <is>
          <t>Annex 3 Design and engineering package (railway) allocated by station hardware share</t>
        </is>
      </c>
      <c r="R165" s="9" t="n">
        <v>23</v>
      </c>
      <c r="S165" s="19">
        <f>R165/1000</f>
        <v/>
      </c>
      <c r="T165" s="20" t="n">
        <v>46611</v>
      </c>
      <c r="U165" s="20" t="n">
        <v>46650</v>
      </c>
      <c r="V165" s="8" t="n">
        <v>28</v>
      </c>
    </row>
    <row r="166">
      <c r="A166" s="8" t="inlineStr">
        <is>
          <t>SH-DES</t>
        </is>
      </c>
      <c r="B166" s="8" t="inlineStr">
        <is>
          <t>Design and engineering package (per railway, allocated to the station)</t>
        </is>
      </c>
      <c r="C166" s="8" t="inlineStr">
        <is>
          <t>EDM-E1120</t>
        </is>
      </c>
      <c r="D166" s="8" t="inlineStr">
        <is>
          <t>HCIS Stage 3 and 4 documents: SAR final review and HCIS submission - Dammam</t>
        </is>
      </c>
      <c r="E166" s="8" t="inlineStr">
        <is>
          <t>ENG.EDM.HCS.APR</t>
        </is>
      </c>
      <c r="F166" s="8" t="inlineStr">
        <is>
          <t>Engineering</t>
        </is>
      </c>
      <c r="G166" s="8" t="inlineStr">
        <is>
          <t>EDM</t>
        </is>
      </c>
      <c r="H166" s="8" t="inlineStr">
        <is>
          <t>MS3</t>
        </is>
      </c>
      <c r="I166" s="16" t="n">
        <v>0.1</v>
      </c>
      <c r="J166" s="10">
        <f>Station_BOQ!R9</f>
        <v/>
      </c>
      <c r="K166" s="9">
        <f>I166*62000000*J166</f>
        <v/>
      </c>
      <c r="L166" s="18" t="n">
        <v>0.05</v>
      </c>
      <c r="M166" s="9">
        <f>ROUND(K166*L166,0)</f>
        <v/>
      </c>
      <c r="N166" s="9" t="n">
        <v>15938</v>
      </c>
      <c r="O166" s="9">
        <f>N166-M166</f>
        <v/>
      </c>
      <c r="P166" s="8" t="inlineStr">
        <is>
          <t>MS3 SAR approval of engineering 10% x station price share 5.14% | Design stage key 5.0% of the SAR-approval milestone</t>
        </is>
      </c>
      <c r="Q166" s="8" t="inlineStr">
        <is>
          <t>Annex 3 Design and engineering package (railway) allocated by station hardware share</t>
        </is>
      </c>
      <c r="R166" s="9" t="n">
        <v>12</v>
      </c>
      <c r="S166" s="19">
        <f>R166/1000</f>
        <v/>
      </c>
      <c r="T166" s="20" t="n">
        <v>46651</v>
      </c>
      <c r="U166" s="20" t="n">
        <v>46672</v>
      </c>
      <c r="V166" s="8" t="n">
        <v>15</v>
      </c>
    </row>
    <row r="167">
      <c r="A167" s="8" t="inlineStr">
        <is>
          <t>SH-DES, SH-TRN</t>
        </is>
      </c>
      <c r="B167" s="8" t="inlineStr">
        <is>
          <t>Design and engineering package (per railway, allocated to the station) and Training (per railway, allocated): documentation and training share</t>
        </is>
      </c>
      <c r="C167" s="8" t="inlineStr">
        <is>
          <t>EDM-E1130</t>
        </is>
      </c>
      <c r="D167" s="8" t="inlineStr">
        <is>
          <t>As-built and O&amp;M documentation: submittal - Dammam</t>
        </is>
      </c>
      <c r="E167" s="8" t="inlineStr">
        <is>
          <t>ENG.EDM.ASB.SUB</t>
        </is>
      </c>
      <c r="F167" s="8" t="inlineStr">
        <is>
          <t>Engineering</t>
        </is>
      </c>
      <c r="G167" s="8" t="inlineStr">
        <is>
          <t>EDM</t>
        </is>
      </c>
      <c r="H167" s="8" t="inlineStr">
        <is>
          <t>MS7</t>
        </is>
      </c>
      <c r="I167" s="16" t="n">
        <v>0.1</v>
      </c>
      <c r="J167" s="10">
        <f>Station_BOQ!R9</f>
        <v/>
      </c>
      <c r="K167" s="9">
        <f>I167*62000000*J167</f>
        <v/>
      </c>
      <c r="L167" s="18" t="n">
        <v>0.15</v>
      </c>
      <c r="M167" s="9">
        <f>ROUND(K167*L167,0)</f>
        <v/>
      </c>
      <c r="N167" s="9" t="n">
        <v>47813</v>
      </c>
      <c r="O167" s="9">
        <f>N167-M167</f>
        <v/>
      </c>
      <c r="P167" s="8" t="inlineStr">
        <is>
          <t>MS7 Final acceptance and handover 10% x station price share 5.14% | Fixed key 15% of final-acceptance milestone</t>
        </is>
      </c>
      <c r="Q167" s="8" t="inlineStr">
        <is>
          <t>Annex 3 documentation and training share</t>
        </is>
      </c>
      <c r="R167" s="9" t="n">
        <v>37</v>
      </c>
      <c r="S167" s="19">
        <f>R167/1000</f>
        <v/>
      </c>
      <c r="T167" s="20" t="n">
        <v>46842</v>
      </c>
      <c r="U167" s="20" t="n">
        <v>46887</v>
      </c>
      <c r="V167" s="8" t="n">
        <v>27</v>
      </c>
    </row>
    <row r="168">
      <c r="A168" s="8" t="inlineStr">
        <is>
          <t>SH-DES</t>
        </is>
      </c>
      <c r="B168" s="8" t="inlineStr">
        <is>
          <t>Design and engineering package (per railway, allocated to the station): documentation share</t>
        </is>
      </c>
      <c r="C168" s="8" t="inlineStr">
        <is>
          <t>EDM-E1140</t>
        </is>
      </c>
      <c r="D168" s="8" t="inlineStr">
        <is>
          <t>As-built and O&amp;M documentation: SAR review and approval - Dammam</t>
        </is>
      </c>
      <c r="E168" s="8" t="inlineStr">
        <is>
          <t>ENG.EDM.ASB.APR</t>
        </is>
      </c>
      <c r="F168" s="8" t="inlineStr">
        <is>
          <t>Engineering</t>
        </is>
      </c>
      <c r="G168" s="8" t="inlineStr">
        <is>
          <t>EDM</t>
        </is>
      </c>
      <c r="H168" s="8" t="inlineStr">
        <is>
          <t>MS7</t>
        </is>
      </c>
      <c r="I168" s="16" t="n">
        <v>0.1</v>
      </c>
      <c r="J168" s="10">
        <f>Station_BOQ!R9</f>
        <v/>
      </c>
      <c r="K168" s="9">
        <f>I168*62000000*J168</f>
        <v/>
      </c>
      <c r="L168" s="18" t="n">
        <v>0.05</v>
      </c>
      <c r="M168" s="9">
        <f>ROUND(K168*L168,0)</f>
        <v/>
      </c>
      <c r="N168" s="9" t="n">
        <v>15938</v>
      </c>
      <c r="O168" s="9">
        <f>N168-M168</f>
        <v/>
      </c>
      <c r="P168" s="8" t="inlineStr">
        <is>
          <t>MS7 Final acceptance and handover 10% x station price share 5.14% | Fixed key 5%</t>
        </is>
      </c>
      <c r="Q168" s="8" t="inlineStr">
        <is>
          <t>Annex 3 documentation share</t>
        </is>
      </c>
      <c r="R168" s="9" t="n">
        <v>21</v>
      </c>
      <c r="S168" s="19">
        <f>R168/1000</f>
        <v/>
      </c>
      <c r="T168" s="20" t="n">
        <v>46888</v>
      </c>
      <c r="U168" s="20" t="n">
        <v>46908</v>
      </c>
      <c r="V168" s="8" t="n">
        <v>15</v>
      </c>
    </row>
    <row r="169">
      <c r="A169" s="8" t="inlineStr">
        <is>
          <t>-</t>
        </is>
      </c>
      <c r="B169" s="8" t="inlineStr">
        <is>
          <t>No BOQ cost: administrative or review step with no payment milestone</t>
        </is>
      </c>
      <c r="C169" s="8" t="inlineStr">
        <is>
          <t>EDM-X1010</t>
        </is>
      </c>
      <c r="D169" s="8" t="inlineStr">
        <is>
          <t>Enabling works: site preparation, setting out, temporary works and utilities clearance - Dammam</t>
        </is>
      </c>
      <c r="E169" s="8" t="inlineStr">
        <is>
          <t>CON.EDM.ENA</t>
        </is>
      </c>
      <c r="F169" s="8" t="inlineStr">
        <is>
          <t>Construction</t>
        </is>
      </c>
      <c r="G169" s="8" t="inlineStr">
        <is>
          <t>EDM</t>
        </is>
      </c>
      <c r="H169" s="8" t="inlineStr">
        <is>
          <t>MS5</t>
        </is>
      </c>
      <c r="I169" s="16" t="n">
        <v>0.2</v>
      </c>
      <c r="J169" s="10">
        <f>Station_BOQ!R9</f>
        <v/>
      </c>
      <c r="K169" s="9">
        <f>I169*62000000*J169</f>
        <v/>
      </c>
      <c r="L169" s="18" t="n">
        <v>0.01380838709201404</v>
      </c>
      <c r="M169" s="9">
        <f>ROUND(K169*L169,0)</f>
        <v/>
      </c>
      <c r="N169" s="9" t="n">
        <v>8803</v>
      </c>
      <c r="O169" s="9">
        <f>N169-M169</f>
        <v/>
      </c>
      <c r="P169" s="8" t="inlineStr">
        <is>
          <t>MS5 Installation 20% x station price share 5.14% | BOQ civil share 34.5% x 4% (enabling: site preparation)</t>
        </is>
      </c>
      <c r="Q169" s="8" t="inlineStr">
        <is>
          <t>Annex 3 A6 Civil works (SAR 701,813)</t>
        </is>
      </c>
      <c r="R169" s="9" t="n">
        <v>49</v>
      </c>
      <c r="S169" s="19">
        <f>R169/1000</f>
        <v/>
      </c>
      <c r="T169" s="20" t="n">
        <v>46673</v>
      </c>
      <c r="U169" s="20" t="n">
        <v>46679</v>
      </c>
      <c r="V169" s="8" t="n">
        <v>5</v>
      </c>
    </row>
    <row r="170">
      <c r="A170" s="8" t="inlineStr">
        <is>
          <t>-</t>
        </is>
      </c>
      <c r="B170" s="8" t="inlineStr">
        <is>
          <t>No BOQ cost: administrative or review step with no payment milestone</t>
        </is>
      </c>
      <c r="C170" s="8" t="inlineStr">
        <is>
          <t>EDM-X1020</t>
        </is>
      </c>
      <c r="D170" s="8" t="inlineStr">
        <is>
          <t>Enabling works: cable routes, duct-bank and cabinet plinth preparation - Dammam</t>
        </is>
      </c>
      <c r="E170" s="8" t="inlineStr">
        <is>
          <t>CON.EDM.ENA</t>
        </is>
      </c>
      <c r="F170" s="8" t="inlineStr">
        <is>
          <t>Construction</t>
        </is>
      </c>
      <c r="G170" s="8" t="inlineStr">
        <is>
          <t>EDM</t>
        </is>
      </c>
      <c r="H170" s="8" t="inlineStr">
        <is>
          <t>MS5</t>
        </is>
      </c>
      <c r="I170" s="16" t="n">
        <v>0.2</v>
      </c>
      <c r="J170" s="10">
        <f>Station_BOQ!R9</f>
        <v/>
      </c>
      <c r="K170" s="9">
        <f>I170*62000000*J170</f>
        <v/>
      </c>
      <c r="L170" s="18" t="n">
        <v>0.02071258063802106</v>
      </c>
      <c r="M170" s="9">
        <f>ROUND(K170*L170,0)</f>
        <v/>
      </c>
      <c r="N170" s="9" t="n">
        <v>13204</v>
      </c>
      <c r="O170" s="9">
        <f>N170-M170</f>
        <v/>
      </c>
      <c r="P170" s="8" t="inlineStr">
        <is>
          <t>MS5 Installation 20% x station price share 5.14% | BOQ civil share 34.5% x 6% (enabling: routes, ducts, plinths)</t>
        </is>
      </c>
      <c r="Q170" s="8" t="inlineStr">
        <is>
          <t>Annex 3 A6 Civil works (SAR 701,813)</t>
        </is>
      </c>
      <c r="R170" s="9" t="n">
        <v>74</v>
      </c>
      <c r="S170" s="19">
        <f>R170/1000</f>
        <v/>
      </c>
      <c r="T170" s="20" t="n">
        <v>46680</v>
      </c>
      <c r="U170" s="20" t="n">
        <v>46693</v>
      </c>
      <c r="V170" s="8" t="n">
        <v>10</v>
      </c>
    </row>
    <row r="171">
      <c r="A171" s="8" t="inlineStr">
        <is>
          <t>A1</t>
        </is>
      </c>
      <c r="B171" s="8" t="inlineStr">
        <is>
          <t>A1 CCTV system</t>
        </is>
      </c>
      <c r="C171" s="8" t="inlineStr">
        <is>
          <t>EDM-P1010</t>
        </is>
      </c>
      <c r="D171" s="8" t="inlineStr">
        <is>
          <t>Manufacture CCTV cameras and analytics - Dammam</t>
        </is>
      </c>
      <c r="E171" s="8" t="inlineStr">
        <is>
          <t>PRO.EDM.CCT</t>
        </is>
      </c>
      <c r="F171" s="8" t="inlineStr">
        <is>
          <t>Procurement</t>
        </is>
      </c>
      <c r="G171" s="8" t="inlineStr">
        <is>
          <t>EDM</t>
        </is>
      </c>
      <c r="H171" s="8" t="inlineStr">
        <is>
          <t>MS4</t>
        </is>
      </c>
      <c r="I171" s="16" t="n">
        <v>0.2</v>
      </c>
      <c r="J171" s="10">
        <f>Station_BOQ!R9</f>
        <v/>
      </c>
      <c r="K171" s="9">
        <f>I171*62000000*J171</f>
        <v/>
      </c>
      <c r="L171" s="18" t="n">
        <v>0.155978063269611</v>
      </c>
      <c r="M171" s="9">
        <f>ROUND(K171*L171,0)</f>
        <v/>
      </c>
      <c r="N171" s="9" t="n">
        <v>99436</v>
      </c>
      <c r="O171" s="9">
        <f>N171-M171</f>
        <v/>
      </c>
      <c r="P171" s="8" t="inlineStr">
        <is>
          <t>MS4 Material delivery 20% x station price share 5.14% | BOQ section share 20.8% of station equipment x 75% (manufacture)</t>
        </is>
      </c>
      <c r="Q171" s="8" t="inlineStr">
        <is>
          <t>Annex 3 A1 CCTV system (SAR 276,849)</t>
        </is>
      </c>
      <c r="R171" s="9" t="n">
        <v>246</v>
      </c>
      <c r="S171" s="19">
        <f>R171/1000</f>
        <v/>
      </c>
      <c r="T171" s="20" t="n">
        <v>46673</v>
      </c>
      <c r="U171" s="20" t="n">
        <v>46733</v>
      </c>
      <c r="V171" s="8" t="n">
        <v>43</v>
      </c>
    </row>
    <row r="172">
      <c r="A172" s="8" t="inlineStr">
        <is>
          <t>A2</t>
        </is>
      </c>
      <c r="B172" s="8" t="inlineStr">
        <is>
          <t>A2 Video management and video wall</t>
        </is>
      </c>
      <c r="C172" s="8" t="inlineStr">
        <is>
          <t>EDM-P1020</t>
        </is>
      </c>
      <c r="D172" s="8" t="inlineStr">
        <is>
          <t>Manufacture video management servers, storage and video wall - Dammam</t>
        </is>
      </c>
      <c r="E172" s="8" t="inlineStr">
        <is>
          <t>PRO.EDM.VMS</t>
        </is>
      </c>
      <c r="F172" s="8" t="inlineStr">
        <is>
          <t>Procurement</t>
        </is>
      </c>
      <c r="G172" s="8" t="inlineStr">
        <is>
          <t>EDM</t>
        </is>
      </c>
      <c r="H172" s="8" t="inlineStr">
        <is>
          <t>MS4</t>
        </is>
      </c>
      <c r="I172" s="16" t="n">
        <v>0.2</v>
      </c>
      <c r="J172" s="10">
        <f>Station_BOQ!R9</f>
        <v/>
      </c>
      <c r="K172" s="9">
        <f>I172*62000000*J172</f>
        <v/>
      </c>
      <c r="L172" s="18" t="n">
        <v>0.232180256491926</v>
      </c>
      <c r="M172" s="9">
        <f>ROUND(K172*L172,0)</f>
        <v/>
      </c>
      <c r="N172" s="9" t="n">
        <v>148015</v>
      </c>
      <c r="O172" s="9">
        <f>N172-M172</f>
        <v/>
      </c>
      <c r="P172" s="8" t="inlineStr">
        <is>
          <t>MS4 Material delivery 20% x station price share 5.14% | BOQ section share 31.0% of station equipment x 75% (manufacture)</t>
        </is>
      </c>
      <c r="Q172" s="8" t="inlineStr">
        <is>
          <t>Annex 3 A2 Video management and wall (SAR 412,102)</t>
        </is>
      </c>
      <c r="R172" s="9" t="n">
        <v>367</v>
      </c>
      <c r="S172" s="19">
        <f>R172/1000</f>
        <v/>
      </c>
      <c r="T172" s="20" t="n">
        <v>46673</v>
      </c>
      <c r="U172" s="20" t="n">
        <v>46733</v>
      </c>
      <c r="V172" s="8" t="n">
        <v>43</v>
      </c>
    </row>
    <row r="173">
      <c r="A173" s="8" t="inlineStr">
        <is>
          <t>A3</t>
        </is>
      </c>
      <c r="B173" s="8" t="inlineStr">
        <is>
          <t>A3 Access control and intercom</t>
        </is>
      </c>
      <c r="C173" s="8" t="inlineStr">
        <is>
          <t>EDM-P1030</t>
        </is>
      </c>
      <c r="D173" s="8" t="inlineStr">
        <is>
          <t>Manufacture access control and intercom equipment - Dammam</t>
        </is>
      </c>
      <c r="E173" s="8" t="inlineStr">
        <is>
          <t>PRO.EDM.ACC</t>
        </is>
      </c>
      <c r="F173" s="8" t="inlineStr">
        <is>
          <t>Procurement</t>
        </is>
      </c>
      <c r="G173" s="8" t="inlineStr">
        <is>
          <t>EDM</t>
        </is>
      </c>
      <c r="H173" s="8" t="inlineStr">
        <is>
          <t>MS4</t>
        </is>
      </c>
      <c r="I173" s="16" t="n">
        <v>0.2</v>
      </c>
      <c r="J173" s="10">
        <f>Station_BOQ!R9</f>
        <v/>
      </c>
      <c r="K173" s="9">
        <f>I173*62000000*J173</f>
        <v/>
      </c>
      <c r="L173" s="18" t="n">
        <v>0.02483770184916977</v>
      </c>
      <c r="M173" s="9">
        <f>ROUND(K173*L173,0)</f>
        <v/>
      </c>
      <c r="N173" s="9" t="n">
        <v>15834</v>
      </c>
      <c r="O173" s="9">
        <f>N173-M173</f>
        <v/>
      </c>
      <c r="P173" s="8" t="inlineStr">
        <is>
          <t>MS4 Material delivery 20% x station price share 5.14% | BOQ section share 3.3% of station equipment x 75% (manufacture)</t>
        </is>
      </c>
      <c r="Q173" s="8" t="inlineStr">
        <is>
          <t>Annex 3 A3 Access control and intercom (SAR 44,085)</t>
        </is>
      </c>
      <c r="R173" s="9" t="n">
        <v>39</v>
      </c>
      <c r="S173" s="19">
        <f>R173/1000</f>
        <v/>
      </c>
      <c r="T173" s="20" t="n">
        <v>46673</v>
      </c>
      <c r="U173" s="20" t="n">
        <v>46733</v>
      </c>
      <c r="V173" s="8" t="n">
        <v>43</v>
      </c>
    </row>
    <row r="174">
      <c r="A174" s="8" t="inlineStr">
        <is>
          <t>A4, A5</t>
        </is>
      </c>
      <c r="B174" s="8" t="inlineStr">
        <is>
          <t>A4 UPS and A5 Poles, cabinets and network</t>
        </is>
      </c>
      <c r="C174" s="8" t="inlineStr">
        <is>
          <t>EDM-P1040</t>
        </is>
      </c>
      <c r="D174" s="8" t="inlineStr">
        <is>
          <t>Manufacture UPS, network switches and field cabinets - Dammam</t>
        </is>
      </c>
      <c r="E174" s="8" t="inlineStr">
        <is>
          <t>PRO.EDM.UPN</t>
        </is>
      </c>
      <c r="F174" s="8" t="inlineStr">
        <is>
          <t>Procurement</t>
        </is>
      </c>
      <c r="G174" s="8" t="inlineStr">
        <is>
          <t>EDM</t>
        </is>
      </c>
      <c r="H174" s="8" t="inlineStr">
        <is>
          <t>MS4</t>
        </is>
      </c>
      <c r="I174" s="16" t="n">
        <v>0.2</v>
      </c>
      <c r="J174" s="10">
        <f>Station_BOQ!R9</f>
        <v/>
      </c>
      <c r="K174" s="9">
        <f>I174*62000000*J174</f>
        <v/>
      </c>
      <c r="L174" s="18" t="n">
        <v>0.3370039783892932</v>
      </c>
      <c r="M174" s="9">
        <f>ROUND(K174*L174,0)</f>
        <v/>
      </c>
      <c r="N174" s="9" t="n">
        <v>214841</v>
      </c>
      <c r="O174" s="9">
        <f>N174-M174</f>
        <v/>
      </c>
      <c r="P174" s="8" t="inlineStr">
        <is>
          <t>MS4 Material delivery 20% x station price share 5.14% | BOQ section share 44.9% of station equipment x 75% (manufacture)</t>
        </is>
      </c>
      <c r="Q174" s="8" t="inlineStr">
        <is>
          <t>Annex 3 A4 UPS + A5 poles, cabinets and network (SAR 598,156)</t>
        </is>
      </c>
      <c r="R174" s="9" t="n">
        <v>532</v>
      </c>
      <c r="S174" s="19">
        <f>R174/1000</f>
        <v/>
      </c>
      <c r="T174" s="20" t="n">
        <v>46673</v>
      </c>
      <c r="U174" s="20" t="n">
        <v>46733</v>
      </c>
      <c r="V174" s="8" t="n">
        <v>43</v>
      </c>
    </row>
    <row r="175">
      <c r="A175" s="8" t="inlineStr">
        <is>
          <t>SH-FAT</t>
        </is>
      </c>
      <c r="B175" s="8" t="inlineStr">
        <is>
          <t>Factory acceptance test (per railway, allocated)</t>
        </is>
      </c>
      <c r="C175" s="8" t="inlineStr">
        <is>
          <t>EDM-P1050</t>
        </is>
      </c>
      <c r="D175" s="8" t="inlineStr">
        <is>
          <t>Factory acceptance test at vendor premises - Dammam</t>
        </is>
      </c>
      <c r="E175" s="8" t="inlineStr">
        <is>
          <t>PRO.EDM.LOG</t>
        </is>
      </c>
      <c r="F175" s="8" t="inlineStr">
        <is>
          <t>Procurement</t>
        </is>
      </c>
      <c r="G175" s="8" t="inlineStr">
        <is>
          <t>EDM</t>
        </is>
      </c>
      <c r="H175" s="8" t="inlineStr">
        <is>
          <t>MS4</t>
        </is>
      </c>
      <c r="I175" s="16" t="n">
        <v>0.2</v>
      </c>
      <c r="J175" s="10">
        <f>Station_BOQ!R9</f>
        <v/>
      </c>
      <c r="K175" s="9">
        <f>I175*62000000*J175</f>
        <v/>
      </c>
      <c r="L175" s="18" t="n">
        <v>0.05</v>
      </c>
      <c r="M175" s="9">
        <f>ROUND(K175*L175,0)</f>
        <v/>
      </c>
      <c r="N175" s="9" t="n">
        <v>31875</v>
      </c>
      <c r="O175" s="9">
        <f>N175-M175</f>
        <v/>
      </c>
      <c r="P175" s="8" t="inlineStr">
        <is>
          <t>MS4 Material delivery 20% x station price share 5.14% | Fixed key 5% (FAT)</t>
        </is>
      </c>
      <c r="Q175" s="8" t="inlineStr">
        <is>
          <t>Annex 3 Factory acceptance test (railway), allocated by hardware share</t>
        </is>
      </c>
      <c r="R175" s="9" t="n">
        <v>197</v>
      </c>
      <c r="S175" s="19">
        <f>R175/1000</f>
        <v/>
      </c>
      <c r="T175" s="20" t="n">
        <v>46734</v>
      </c>
      <c r="U175" s="20" t="n">
        <v>46747</v>
      </c>
      <c r="V175" s="8" t="n">
        <v>10</v>
      </c>
    </row>
    <row r="176">
      <c r="A176" s="8" t="inlineStr">
        <is>
          <t>A1-A5</t>
        </is>
      </c>
      <c r="B176" s="8" t="inlineStr">
        <is>
          <t>A1 to A5 equipment sections: logistics (shipping, customs, delivery) share</t>
        </is>
      </c>
      <c r="C176" s="8" t="inlineStr">
        <is>
          <t>EDM-P1060</t>
        </is>
      </c>
      <c r="D176" s="8" t="inlineStr">
        <is>
          <t>Shipping and customs clearance - Dammam</t>
        </is>
      </c>
      <c r="E176" s="8" t="inlineStr">
        <is>
          <t>PRO.EDM.LOG</t>
        </is>
      </c>
      <c r="F176" s="8" t="inlineStr">
        <is>
          <t>Procurement</t>
        </is>
      </c>
      <c r="G176" s="8" t="inlineStr">
        <is>
          <t>EDM</t>
        </is>
      </c>
      <c r="H176" s="8" t="inlineStr">
        <is>
          <t>MS4</t>
        </is>
      </c>
      <c r="I176" s="16" t="n">
        <v>0.2</v>
      </c>
      <c r="J176" s="10">
        <f>Station_BOQ!R9</f>
        <v/>
      </c>
      <c r="K176" s="9">
        <f>I176*62000000*J176</f>
        <v/>
      </c>
      <c r="L176" s="18" t="n">
        <v>0.15</v>
      </c>
      <c r="M176" s="9">
        <f>ROUND(K176*L176,0)</f>
        <v/>
      </c>
      <c r="N176" s="9" t="n">
        <v>95625</v>
      </c>
      <c r="O176" s="9">
        <f>N176-M176</f>
        <v/>
      </c>
      <c r="P176" s="8" t="inlineStr">
        <is>
          <t>MS4 Material delivery 20% x station price share 5.14% | Fixed key 15% (shipping and customs)</t>
        </is>
      </c>
      <c r="Q176" s="8" t="inlineStr">
        <is>
          <t>Annex 3 equipment sections A1-A5 (logistics share)</t>
        </is>
      </c>
      <c r="R176" s="9" t="n">
        <v>395</v>
      </c>
      <c r="S176" s="19">
        <f>R176/1000</f>
        <v/>
      </c>
      <c r="T176" s="20" t="n">
        <v>46748</v>
      </c>
      <c r="U176" s="20" t="n">
        <v>46775</v>
      </c>
      <c r="V176" s="8" t="n">
        <v>20</v>
      </c>
    </row>
    <row r="177">
      <c r="A177" s="8" t="inlineStr">
        <is>
          <t>SH-SPR</t>
        </is>
      </c>
      <c r="B177" s="8" t="inlineStr">
        <is>
          <t>Commissioning spares (per railway, allocated)</t>
        </is>
      </c>
      <c r="C177" s="8" t="inlineStr">
        <is>
          <t>EDM-P1070</t>
        </is>
      </c>
      <c r="D177" s="8" t="inlineStr">
        <is>
          <t>Delivery to station and receiving inspection - Dammam</t>
        </is>
      </c>
      <c r="E177" s="8" t="inlineStr">
        <is>
          <t>PRO.EDM.LOG</t>
        </is>
      </c>
      <c r="F177" s="8" t="inlineStr">
        <is>
          <t>Procurement</t>
        </is>
      </c>
      <c r="G177" s="8" t="inlineStr">
        <is>
          <t>EDM</t>
        </is>
      </c>
      <c r="H177" s="8" t="inlineStr">
        <is>
          <t>MS4</t>
        </is>
      </c>
      <c r="I177" s="16" t="n">
        <v>0.2</v>
      </c>
      <c r="J177" s="10">
        <f>Station_BOQ!R9</f>
        <v/>
      </c>
      <c r="K177" s="9">
        <f>I177*62000000*J177</f>
        <v/>
      </c>
      <c r="L177" s="18" t="n">
        <v>0.05</v>
      </c>
      <c r="M177" s="9">
        <f>ROUND(K177*L177,0)</f>
        <v/>
      </c>
      <c r="N177" s="9" t="n">
        <v>31875</v>
      </c>
      <c r="O177" s="9">
        <f>N177-M177</f>
        <v/>
      </c>
      <c r="P177" s="8" t="inlineStr">
        <is>
          <t>MS4 Material delivery 20% x station price share 5.14% | Fixed key 5% (delivery, receiving) incl. commissioning spares</t>
        </is>
      </c>
      <c r="Q177" s="8" t="inlineStr">
        <is>
          <t>Annex 3 Commissioning spares (railway), allocated by hardware share</t>
        </is>
      </c>
      <c r="R177" s="9" t="n">
        <v>197</v>
      </c>
      <c r="S177" s="19">
        <f>R177/1000</f>
        <v/>
      </c>
      <c r="T177" s="20" t="n">
        <v>46776</v>
      </c>
      <c r="U177" s="20" t="n">
        <v>46782</v>
      </c>
      <c r="V177" s="8" t="n">
        <v>5</v>
      </c>
    </row>
    <row r="178">
      <c r="A178" s="8" t="inlineStr">
        <is>
          <t>A6</t>
        </is>
      </c>
      <c r="B178" s="8" t="inlineStr">
        <is>
          <t>A6 Civil works</t>
        </is>
      </c>
      <c r="C178" s="8" t="inlineStr">
        <is>
          <t>EDM-C1010</t>
        </is>
      </c>
      <c r="D178" s="8" t="inlineStr">
        <is>
          <t>Civil: platform trenches and duct banks - Dammam</t>
        </is>
      </c>
      <c r="E178" s="8" t="inlineStr">
        <is>
          <t>CON.EDM.CIV</t>
        </is>
      </c>
      <c r="F178" s="8" t="inlineStr">
        <is>
          <t>Construction</t>
        </is>
      </c>
      <c r="G178" s="8" t="inlineStr">
        <is>
          <t>EDM</t>
        </is>
      </c>
      <c r="H178" s="8" t="inlineStr">
        <is>
          <t>MS5</t>
        </is>
      </c>
      <c r="I178" s="16" t="n">
        <v>0.2</v>
      </c>
      <c r="J178" s="10">
        <f>Station_BOQ!R9</f>
        <v/>
      </c>
      <c r="K178" s="9">
        <f>I178*62000000*J178</f>
        <v/>
      </c>
      <c r="L178" s="18" t="n">
        <v>0.1726048386501755</v>
      </c>
      <c r="M178" s="9">
        <f>ROUND(K178*L178,0)</f>
        <v/>
      </c>
      <c r="N178" s="9" t="n">
        <v>110036</v>
      </c>
      <c r="O178" s="9">
        <f>N178-M178</f>
        <v/>
      </c>
      <c r="P178" s="8" t="inlineStr">
        <is>
          <t>MS5 Installation 20% x station price share 5.14% | BOQ civil share 34.5% x 50% (trenches and duct banks)</t>
        </is>
      </c>
      <c r="Q178" s="8" t="inlineStr">
        <is>
          <t>Annex 3 A6 Civil works (SAR 701,813)</t>
        </is>
      </c>
      <c r="R178" s="9" t="n">
        <v>321</v>
      </c>
      <c r="S178" s="19">
        <f>R178/1000</f>
        <v/>
      </c>
      <c r="T178" s="20" t="n">
        <v>46694</v>
      </c>
      <c r="U178" s="20" t="n">
        <v>46770</v>
      </c>
      <c r="V178" s="8" t="n">
        <v>55</v>
      </c>
    </row>
    <row r="179">
      <c r="A179" s="8" t="inlineStr">
        <is>
          <t>A6</t>
        </is>
      </c>
      <c r="B179" s="8" t="inlineStr">
        <is>
          <t>A6 Civil works</t>
        </is>
      </c>
      <c r="C179" s="8" t="inlineStr">
        <is>
          <t>EDM-C1020</t>
        </is>
      </c>
      <c r="D179" s="8" t="inlineStr">
        <is>
          <t>Civil: camera and ALPR pole foundations and poles - Dammam</t>
        </is>
      </c>
      <c r="E179" s="8" t="inlineStr">
        <is>
          <t>CON.EDM.CIV</t>
        </is>
      </c>
      <c r="F179" s="8" t="inlineStr">
        <is>
          <t>Construction</t>
        </is>
      </c>
      <c r="G179" s="8" t="inlineStr">
        <is>
          <t>EDM</t>
        </is>
      </c>
      <c r="H179" s="8" t="inlineStr">
        <is>
          <t>MS5</t>
        </is>
      </c>
      <c r="I179" s="16" t="n">
        <v>0.2</v>
      </c>
      <c r="J179" s="10">
        <f>Station_BOQ!R9</f>
        <v/>
      </c>
      <c r="K179" s="9">
        <f>I179*62000000*J179</f>
        <v/>
      </c>
      <c r="L179" s="18" t="n">
        <v>0.1380838709201404</v>
      </c>
      <c r="M179" s="9">
        <f>ROUND(K179*L179,0)</f>
        <v/>
      </c>
      <c r="N179" s="9" t="n">
        <v>88029</v>
      </c>
      <c r="O179" s="9">
        <f>N179-M179</f>
        <v/>
      </c>
      <c r="P179" s="8" t="inlineStr">
        <is>
          <t>MS5 Installation 20% x station price share 5.14% | BOQ civil share 34.5% x 40% (poles)</t>
        </is>
      </c>
      <c r="Q179" s="8" t="inlineStr">
        <is>
          <t>Annex 3 A6 Civil works (SAR 701,813)</t>
        </is>
      </c>
      <c r="R179" s="9" t="n">
        <v>247</v>
      </c>
      <c r="S179" s="19">
        <f>R179/1000</f>
        <v/>
      </c>
      <c r="T179" s="20" t="n">
        <v>46743</v>
      </c>
      <c r="U179" s="20" t="n">
        <v>46810</v>
      </c>
      <c r="V179" s="8" t="n">
        <v>43</v>
      </c>
    </row>
    <row r="180">
      <c r="A180" s="8" t="inlineStr">
        <is>
          <t>A1-A5</t>
        </is>
      </c>
      <c r="B180" s="8" t="inlineStr">
        <is>
          <t>A1 to A5 equipment sections: installation share (works included in unit prices)</t>
        </is>
      </c>
      <c r="C180" s="8" t="inlineStr">
        <is>
          <t>EDM-C2010</t>
        </is>
      </c>
      <c r="D180" s="8" t="inlineStr">
        <is>
          <t>Install UPS, network switches and field cabinets - Dammam</t>
        </is>
      </c>
      <c r="E180" s="8" t="inlineStr">
        <is>
          <t>CON.EDM.INS</t>
        </is>
      </c>
      <c r="F180" s="8" t="inlineStr">
        <is>
          <t>Construction</t>
        </is>
      </c>
      <c r="G180" s="8" t="inlineStr">
        <is>
          <t>EDM</t>
        </is>
      </c>
      <c r="H180" s="8" t="inlineStr">
        <is>
          <t>MS5</t>
        </is>
      </c>
      <c r="I180" s="16" t="n">
        <v>0.2</v>
      </c>
      <c r="J180" s="10">
        <f>Station_BOQ!R9</f>
        <v/>
      </c>
      <c r="K180" s="9">
        <f>I180*62000000*J180</f>
        <v/>
      </c>
      <c r="L180" s="18" t="n">
        <v>0.1309580645399298</v>
      </c>
      <c r="M180" s="9">
        <f>ROUND(K180*L180,0)</f>
        <v/>
      </c>
      <c r="N180" s="9" t="n">
        <v>83486</v>
      </c>
      <c r="O180" s="9">
        <f>N180-M180</f>
        <v/>
      </c>
      <c r="P180" s="8" t="inlineStr">
        <is>
          <t>MS5 Installation 20% x station price share 5.14% | Installation key 20% x (1 - civil share 34.5%)</t>
        </is>
      </c>
      <c r="Q180" s="8" t="inlineStr">
        <is>
          <t>Annex 3 equipment sections A1-A5 (installation share)</t>
        </is>
      </c>
      <c r="R180" s="9" t="n">
        <v>148</v>
      </c>
      <c r="S180" s="19">
        <f>R180/1000</f>
        <v/>
      </c>
      <c r="T180" s="20" t="n">
        <v>46783</v>
      </c>
      <c r="U180" s="20" t="n">
        <v>46797</v>
      </c>
      <c r="V180" s="8" t="n">
        <v>11</v>
      </c>
    </row>
    <row r="181">
      <c r="A181" s="8" t="inlineStr">
        <is>
          <t>A1-A5</t>
        </is>
      </c>
      <c r="B181" s="8" t="inlineStr">
        <is>
          <t>A1 to A5 equipment sections: installation share (works included in unit prices)</t>
        </is>
      </c>
      <c r="C181" s="8" t="inlineStr">
        <is>
          <t>EDM-C2020</t>
        </is>
      </c>
      <c r="D181" s="8" t="inlineStr">
        <is>
          <t>Cabling and termination (power, fibre, data) - Dammam</t>
        </is>
      </c>
      <c r="E181" s="8" t="inlineStr">
        <is>
          <t>CON.EDM.INS</t>
        </is>
      </c>
      <c r="F181" s="8" t="inlineStr">
        <is>
          <t>Construction</t>
        </is>
      </c>
      <c r="G181" s="8" t="inlineStr">
        <is>
          <t>EDM</t>
        </is>
      </c>
      <c r="H181" s="8" t="inlineStr">
        <is>
          <t>MS5</t>
        </is>
      </c>
      <c r="I181" s="16" t="n">
        <v>0.2</v>
      </c>
      <c r="J181" s="10">
        <f>Station_BOQ!R9</f>
        <v/>
      </c>
      <c r="K181" s="9">
        <f>I181*62000000*J181</f>
        <v/>
      </c>
      <c r="L181" s="18" t="n">
        <v>0.1964370968098947</v>
      </c>
      <c r="M181" s="9">
        <f>ROUND(K181*L181,0)</f>
        <v/>
      </c>
      <c r="N181" s="9" t="n">
        <v>125229</v>
      </c>
      <c r="O181" s="9">
        <f>N181-M181</f>
        <v/>
      </c>
      <c r="P181" s="8" t="inlineStr">
        <is>
          <t>MS5 Installation 20% x station price share 5.14% | Installation key 30% x (1 - civil share 34.5%)</t>
        </is>
      </c>
      <c r="Q181" s="8" t="inlineStr">
        <is>
          <t>Annex 3 equipment sections A1-A5 (installation share)</t>
        </is>
      </c>
      <c r="R181" s="9" t="n">
        <v>296</v>
      </c>
      <c r="S181" s="19">
        <f>R181/1000</f>
        <v/>
      </c>
      <c r="T181" s="20" t="n">
        <v>46789</v>
      </c>
      <c r="U181" s="20" t="n">
        <v>46820</v>
      </c>
      <c r="V181" s="8" t="n">
        <v>19</v>
      </c>
    </row>
    <row r="182">
      <c r="A182" s="8" t="inlineStr">
        <is>
          <t>A1-A5</t>
        </is>
      </c>
      <c r="B182" s="8" t="inlineStr">
        <is>
          <t>A1 to A5 equipment sections: installation share (works included in unit prices)</t>
        </is>
      </c>
      <c r="C182" s="8" t="inlineStr">
        <is>
          <t>EDM-C2030</t>
        </is>
      </c>
      <c r="D182" s="8" t="inlineStr">
        <is>
          <t>Install and aim CCTV cameras - Dammam</t>
        </is>
      </c>
      <c r="E182" s="8" t="inlineStr">
        <is>
          <t>CON.EDM.INS</t>
        </is>
      </c>
      <c r="F182" s="8" t="inlineStr">
        <is>
          <t>Construction</t>
        </is>
      </c>
      <c r="G182" s="8" t="inlineStr">
        <is>
          <t>EDM</t>
        </is>
      </c>
      <c r="H182" s="8" t="inlineStr">
        <is>
          <t>MS5</t>
        </is>
      </c>
      <c r="I182" s="16" t="n">
        <v>0.2</v>
      </c>
      <c r="J182" s="10">
        <f>Station_BOQ!R9</f>
        <v/>
      </c>
      <c r="K182" s="9">
        <f>I182*62000000*J182</f>
        <v/>
      </c>
      <c r="L182" s="18" t="n">
        <v>0.1636975806749122</v>
      </c>
      <c r="M182" s="9">
        <f>ROUND(K182*L182,0)</f>
        <v/>
      </c>
      <c r="N182" s="9" t="n">
        <v>104358</v>
      </c>
      <c r="O182" s="9">
        <f>N182-M182</f>
        <v/>
      </c>
      <c r="P182" s="8" t="inlineStr">
        <is>
          <t>MS5 Installation 20% x station price share 5.14% | Installation key 25% x (1 - civil share 34.5%)</t>
        </is>
      </c>
      <c r="Q182" s="8" t="inlineStr">
        <is>
          <t>Annex 3 equipment sections A1-A5 (installation share)</t>
        </is>
      </c>
      <c r="R182" s="9" t="n">
        <v>247</v>
      </c>
      <c r="S182" s="19">
        <f>R182/1000</f>
        <v/>
      </c>
      <c r="T182" s="20" t="n">
        <v>46821</v>
      </c>
      <c r="U182" s="20" t="n">
        <v>46841</v>
      </c>
      <c r="V182" s="8" t="n">
        <v>15</v>
      </c>
    </row>
    <row r="183">
      <c r="A183" s="8" t="inlineStr">
        <is>
          <t>A1-A5</t>
        </is>
      </c>
      <c r="B183" s="8" t="inlineStr">
        <is>
          <t>A1 to A5 equipment sections: installation share (works included in unit prices)</t>
        </is>
      </c>
      <c r="C183" s="8" t="inlineStr">
        <is>
          <t>EDM-C2040</t>
        </is>
      </c>
      <c r="D183" s="8" t="inlineStr">
        <is>
          <t>Install video management, video wall and control-room equipment - Dammam</t>
        </is>
      </c>
      <c r="E183" s="8" t="inlineStr">
        <is>
          <t>CON.EDM.INS</t>
        </is>
      </c>
      <c r="F183" s="8" t="inlineStr">
        <is>
          <t>Construction</t>
        </is>
      </c>
      <c r="G183" s="8" t="inlineStr">
        <is>
          <t>EDM</t>
        </is>
      </c>
      <c r="H183" s="8" t="inlineStr">
        <is>
          <t>MS5</t>
        </is>
      </c>
      <c r="I183" s="16" t="n">
        <v>0.2</v>
      </c>
      <c r="J183" s="10">
        <f>Station_BOQ!R9</f>
        <v/>
      </c>
      <c r="K183" s="9">
        <f>I183*62000000*J183</f>
        <v/>
      </c>
      <c r="L183" s="18" t="n">
        <v>0.09821854840494734</v>
      </c>
      <c r="M183" s="9">
        <f>ROUND(K183*L183,0)</f>
        <v/>
      </c>
      <c r="N183" s="9" t="n">
        <v>62615</v>
      </c>
      <c r="O183" s="9">
        <f>N183-M183</f>
        <v/>
      </c>
      <c r="P183" s="8" t="inlineStr">
        <is>
          <t>MS5 Installation 20% x station price share 5.14% | Installation key 15% x (1 - civil share 34.5%)</t>
        </is>
      </c>
      <c r="Q183" s="8" t="inlineStr">
        <is>
          <t>Annex 3 equipment sections A1-A5 (installation share)</t>
        </is>
      </c>
      <c r="R183" s="9" t="n">
        <v>148</v>
      </c>
      <c r="S183" s="19">
        <f>R183/1000</f>
        <v/>
      </c>
      <c r="T183" s="20" t="n">
        <v>46798</v>
      </c>
      <c r="U183" s="20" t="n">
        <v>46821</v>
      </c>
      <c r="V183" s="8" t="n">
        <v>13</v>
      </c>
    </row>
    <row r="184">
      <c r="A184" s="8" t="inlineStr">
        <is>
          <t>A1-A5</t>
        </is>
      </c>
      <c r="B184" s="8" t="inlineStr">
        <is>
          <t>A1 to A5 equipment sections: installation share (works included in unit prices)</t>
        </is>
      </c>
      <c r="C184" s="8" t="inlineStr">
        <is>
          <t>EDM-C2050</t>
        </is>
      </c>
      <c r="D184" s="8" t="inlineStr">
        <is>
          <t>Install access control and intercom - Dammam</t>
        </is>
      </c>
      <c r="E184" s="8" t="inlineStr">
        <is>
          <t>CON.EDM.INS</t>
        </is>
      </c>
      <c r="F184" s="8" t="inlineStr">
        <is>
          <t>Construction</t>
        </is>
      </c>
      <c r="G184" s="8" t="inlineStr">
        <is>
          <t>EDM</t>
        </is>
      </c>
      <c r="H184" s="8" t="inlineStr">
        <is>
          <t>MS5</t>
        </is>
      </c>
      <c r="I184" s="16" t="n">
        <v>0.2</v>
      </c>
      <c r="J184" s="10">
        <f>Station_BOQ!R9</f>
        <v/>
      </c>
      <c r="K184" s="9">
        <f>I184*62000000*J184</f>
        <v/>
      </c>
      <c r="L184" s="18" t="n">
        <v>0.0654790322699649</v>
      </c>
      <c r="M184" s="9">
        <f>ROUND(K184*L184,0)</f>
        <v/>
      </c>
      <c r="N184" s="9" t="n">
        <v>41743</v>
      </c>
      <c r="O184" s="9">
        <f>N184-M184</f>
        <v/>
      </c>
      <c r="P184" s="8" t="inlineStr">
        <is>
          <t>MS5 Installation 20% x station price share 5.14% | Installation key 10% x (1 - civil share 34.5%)</t>
        </is>
      </c>
      <c r="Q184" s="8" t="inlineStr">
        <is>
          <t>Annex 3 equipment sections A1-A5 (installation share)</t>
        </is>
      </c>
      <c r="R184" s="9" t="n">
        <v>99</v>
      </c>
      <c r="S184" s="19">
        <f>R184/1000</f>
        <v/>
      </c>
      <c r="T184" s="20" t="n">
        <v>46811</v>
      </c>
      <c r="U184" s="20" t="n">
        <v>46825</v>
      </c>
      <c r="V184" s="8" t="n">
        <v>11</v>
      </c>
    </row>
    <row r="185">
      <c r="A185" s="8" t="inlineStr">
        <is>
          <t>A1-A5</t>
        </is>
      </c>
      <c r="B185" s="8" t="inlineStr">
        <is>
          <t>A1 to A5 equipment sections: testing and commissioning share</t>
        </is>
      </c>
      <c r="C185" s="8" t="inlineStr">
        <is>
          <t>EDM-T1010</t>
        </is>
      </c>
      <c r="D185" s="8" t="inlineStr">
        <is>
          <t>Pre-commissioning and loop checks - Dammam</t>
        </is>
      </c>
      <c r="E185" s="8" t="inlineStr">
        <is>
          <t>COM.EDM.TST</t>
        </is>
      </c>
      <c r="F185" s="8" t="inlineStr">
        <is>
          <t>Commissioning and handover</t>
        </is>
      </c>
      <c r="G185" s="8" t="inlineStr">
        <is>
          <t>EDM</t>
        </is>
      </c>
      <c r="H185" s="8" t="inlineStr">
        <is>
          <t>MS6</t>
        </is>
      </c>
      <c r="I185" s="16" t="n">
        <v>0.1</v>
      </c>
      <c r="J185" s="10">
        <f>Station_BOQ!R9</f>
        <v/>
      </c>
      <c r="K185" s="9">
        <f>I185*62000000*J185</f>
        <v/>
      </c>
      <c r="L185" s="18" t="n">
        <v>0.4</v>
      </c>
      <c r="M185" s="9">
        <f>ROUND(K185*L185,0)</f>
        <v/>
      </c>
      <c r="N185" s="9" t="n">
        <v>127500</v>
      </c>
      <c r="O185" s="9">
        <f>N185-M185</f>
        <v/>
      </c>
      <c r="P185" s="8" t="inlineStr">
        <is>
          <t>MS6 Testing and commissioning (SAT) 10% x station price share 5.14% | Fixed key 40% of SAT milestone</t>
        </is>
      </c>
      <c r="Q185" s="8" t="inlineStr">
        <is>
          <t>Annex 3 equipment sections A1-A5 (testing share)</t>
        </is>
      </c>
      <c r="R185" s="9" t="n">
        <v>148</v>
      </c>
      <c r="S185" s="19">
        <f>R185/1000</f>
        <v/>
      </c>
      <c r="T185" s="20" t="n">
        <v>46842</v>
      </c>
      <c r="U185" s="20" t="n">
        <v>46848</v>
      </c>
      <c r="V185" s="8" t="n">
        <v>5</v>
      </c>
    </row>
    <row r="186">
      <c r="A186" s="8" t="inlineStr">
        <is>
          <t>A1-A5</t>
        </is>
      </c>
      <c r="B186" s="8" t="inlineStr">
        <is>
          <t>A1 to A5 equipment sections: testing and commissioning share</t>
        </is>
      </c>
      <c r="C186" s="8" t="inlineStr">
        <is>
          <t>EDM-T1020</t>
        </is>
      </c>
      <c r="D186" s="8" t="inlineStr">
        <is>
          <t>Site acceptance test (SAT) and commissioning - Dammam</t>
        </is>
      </c>
      <c r="E186" s="8" t="inlineStr">
        <is>
          <t>COM.EDM.TST</t>
        </is>
      </c>
      <c r="F186" s="8" t="inlineStr">
        <is>
          <t>Commissioning and handover</t>
        </is>
      </c>
      <c r="G186" s="8" t="inlineStr">
        <is>
          <t>EDM</t>
        </is>
      </c>
      <c r="H186" s="8" t="inlineStr">
        <is>
          <t>MS6</t>
        </is>
      </c>
      <c r="I186" s="16" t="n">
        <v>0.1</v>
      </c>
      <c r="J186" s="10">
        <f>Station_BOQ!R9</f>
        <v/>
      </c>
      <c r="K186" s="9">
        <f>I186*62000000*J186</f>
        <v/>
      </c>
      <c r="L186" s="18" t="n">
        <v>0.6</v>
      </c>
      <c r="M186" s="9">
        <f>ROUND(K186*L186,0)</f>
        <v/>
      </c>
      <c r="N186" s="9" t="n">
        <v>191251</v>
      </c>
      <c r="O186" s="9">
        <f>N186-M186</f>
        <v/>
      </c>
      <c r="P186" s="8" t="inlineStr">
        <is>
          <t>MS6 Testing and commissioning (SAT) 10% x station price share 5.14% | Fixed key 60% of SAT milestone</t>
        </is>
      </c>
      <c r="Q186" s="8" t="inlineStr">
        <is>
          <t>Annex 3 equipment sections A1-A5 (testing share)</t>
        </is>
      </c>
      <c r="R186" s="9" t="n">
        <v>197</v>
      </c>
      <c r="S186" s="19">
        <f>R186/1000</f>
        <v/>
      </c>
      <c r="T186" s="20" t="n">
        <v>46849</v>
      </c>
      <c r="U186" s="20" t="n">
        <v>46859</v>
      </c>
      <c r="V186" s="8" t="n">
        <v>7</v>
      </c>
    </row>
    <row r="187">
      <c r="A187" s="8" t="inlineStr">
        <is>
          <t>SH-TRN</t>
        </is>
      </c>
      <c r="B187" s="8" t="inlineStr">
        <is>
          <t>Training (per railway, allocated)</t>
        </is>
      </c>
      <c r="C187" s="8" t="inlineStr">
        <is>
          <t>EDM-T2010</t>
        </is>
      </c>
      <c r="D187" s="8" t="inlineStr">
        <is>
          <t>Operator and maintenance training - Dammam</t>
        </is>
      </c>
      <c r="E187" s="8" t="inlineStr">
        <is>
          <t>COM.EDM.TRN</t>
        </is>
      </c>
      <c r="F187" s="8" t="inlineStr">
        <is>
          <t>Commissioning and handover</t>
        </is>
      </c>
      <c r="G187" s="8" t="inlineStr">
        <is>
          <t>EDM</t>
        </is>
      </c>
      <c r="H187" s="8" t="inlineStr">
        <is>
          <t>MS7</t>
        </is>
      </c>
      <c r="I187" s="16" t="n">
        <v>0.1</v>
      </c>
      <c r="J187" s="10">
        <f>Station_BOQ!R9</f>
        <v/>
      </c>
      <c r="K187" s="9">
        <f>I187*62000000*J187</f>
        <v/>
      </c>
      <c r="L187" s="18" t="n">
        <v>0.15</v>
      </c>
      <c r="M187" s="9">
        <f>ROUND(K187*L187,0)</f>
        <v/>
      </c>
      <c r="N187" s="9" t="n">
        <v>47813</v>
      </c>
      <c r="O187" s="9">
        <f>N187-M187</f>
        <v/>
      </c>
      <c r="P187" s="8" t="inlineStr">
        <is>
          <t>MS7 Final acceptance and handover 10% x station price share 5.14% | Fixed key 15%</t>
        </is>
      </c>
      <c r="Q187" s="8" t="inlineStr">
        <is>
          <t>Annex 3 Training (railway), allocated by hardware share</t>
        </is>
      </c>
      <c r="R187" s="9" t="n">
        <v>99</v>
      </c>
      <c r="S187" s="19">
        <f>R187/1000</f>
        <v/>
      </c>
      <c r="T187" s="20" t="n">
        <v>46860</v>
      </c>
      <c r="U187" s="20" t="n">
        <v>46880</v>
      </c>
      <c r="V187" s="8" t="n">
        <v>10</v>
      </c>
    </row>
    <row r="188">
      <c r="A188" s="8" t="inlineStr">
        <is>
          <t>A1-A5</t>
        </is>
      </c>
      <c r="B188" s="8" t="inlineStr">
        <is>
          <t>A1 to A5 equipment sections: trial operation share</t>
        </is>
      </c>
      <c r="C188" s="8" t="inlineStr">
        <is>
          <t>EDM-T2020</t>
        </is>
      </c>
      <c r="D188" s="8" t="inlineStr">
        <is>
          <t>Trial operation (maximum 45 days) - Dammam</t>
        </is>
      </c>
      <c r="E188" s="8" t="inlineStr">
        <is>
          <t>COM.EDM.TOA</t>
        </is>
      </c>
      <c r="F188" s="8" t="inlineStr">
        <is>
          <t>Commissioning and handover</t>
        </is>
      </c>
      <c r="G188" s="8" t="inlineStr">
        <is>
          <t>EDM</t>
        </is>
      </c>
      <c r="H188" s="8" t="inlineStr">
        <is>
          <t>MS7</t>
        </is>
      </c>
      <c r="I188" s="16" t="n">
        <v>0.1</v>
      </c>
      <c r="J188" s="10">
        <f>Station_BOQ!R9</f>
        <v/>
      </c>
      <c r="K188" s="9">
        <f>I188*62000000*J188</f>
        <v/>
      </c>
      <c r="L188" s="18" t="n">
        <v>0.35</v>
      </c>
      <c r="M188" s="9">
        <f>ROUND(K188*L188,0)</f>
        <v/>
      </c>
      <c r="N188" s="9" t="n">
        <v>111563</v>
      </c>
      <c r="O188" s="9">
        <f>N188-M188</f>
        <v/>
      </c>
      <c r="P188" s="8" t="inlineStr">
        <is>
          <t>MS7 Final acceptance and handover 10% x station price share 5.14% | Fixed key 35%</t>
        </is>
      </c>
      <c r="Q188" s="8" t="inlineStr">
        <is>
          <t>Annex 3 equipment sections A1-A5 (trial operation share)</t>
        </is>
      </c>
      <c r="R188" s="9" t="n">
        <v>148</v>
      </c>
      <c r="S188" s="19">
        <f>R188/1000</f>
        <v/>
      </c>
      <c r="T188" s="20" t="n">
        <v>46860</v>
      </c>
      <c r="U188" s="20" t="n">
        <v>46908</v>
      </c>
      <c r="V188" s="8" t="n">
        <v>30</v>
      </c>
    </row>
    <row r="189">
      <c r="A189" s="8" t="inlineStr">
        <is>
          <t>A1-A5</t>
        </is>
      </c>
      <c r="B189" s="8" t="inlineStr">
        <is>
          <t>A1 to A5 equipment sections: handover share</t>
        </is>
      </c>
      <c r="C189" s="8" t="inlineStr">
        <is>
          <t>EDM-T3010</t>
        </is>
      </c>
      <c r="D189" s="8" t="inlineStr">
        <is>
          <t>Taking-over application, SAR review and handover - Dammam</t>
        </is>
      </c>
      <c r="E189" s="8" t="inlineStr">
        <is>
          <t>COM.EDM.TOA</t>
        </is>
      </c>
      <c r="F189" s="8" t="inlineStr">
        <is>
          <t>Commissioning and handover</t>
        </is>
      </c>
      <c r="G189" s="8" t="inlineStr">
        <is>
          <t>EDM</t>
        </is>
      </c>
      <c r="H189" s="8" t="inlineStr">
        <is>
          <t>MS7</t>
        </is>
      </c>
      <c r="I189" s="16" t="n">
        <v>0.1</v>
      </c>
      <c r="J189" s="10">
        <f>Station_BOQ!R9</f>
        <v/>
      </c>
      <c r="K189" s="9">
        <f>I189*62000000*J189</f>
        <v/>
      </c>
      <c r="L189" s="18" t="n">
        <v>0.3</v>
      </c>
      <c r="M189" s="9">
        <f>ROUND(K189*L189,0)</f>
        <v/>
      </c>
      <c r="N189" s="9" t="n">
        <v>95625</v>
      </c>
      <c r="O189" s="9">
        <f>N189-M189</f>
        <v/>
      </c>
      <c r="P189" s="8" t="inlineStr">
        <is>
          <t>MS7 Final acceptance and handover 10% x station price share 5.14% | Fixed key 30%</t>
        </is>
      </c>
      <c r="Q189" s="8" t="inlineStr">
        <is>
          <t>Annex 3 equipment sections A1-A5 (handover share)</t>
        </is>
      </c>
      <c r="R189" s="9" t="n">
        <v>148</v>
      </c>
      <c r="S189" s="19">
        <f>R189/1000</f>
        <v/>
      </c>
      <c r="T189" s="20" t="n">
        <v>46909</v>
      </c>
      <c r="U189" s="20" t="n">
        <v>46938</v>
      </c>
      <c r="V189" s="8" t="n">
        <v>22</v>
      </c>
    </row>
    <row r="190">
      <c r="A190" s="8" t="inlineStr">
        <is>
          <t>SH-DES</t>
        </is>
      </c>
      <c r="B190" s="8" t="inlineStr">
        <is>
          <t>Design and engineering package (per railway, allocated to the station)</t>
        </is>
      </c>
      <c r="C190" s="8" t="inlineStr">
        <is>
          <t>NQS-E1010</t>
        </is>
      </c>
      <c r="D190" s="8" t="inlineStr">
        <is>
          <t>Survey: submittal of site survey and as-found report - Al Qassim</t>
        </is>
      </c>
      <c r="E190" s="8" t="inlineStr">
        <is>
          <t>ENG.NQS.SRV.SUB</t>
        </is>
      </c>
      <c r="F190" s="8" t="inlineStr">
        <is>
          <t>Engineering</t>
        </is>
      </c>
      <c r="G190" s="8" t="inlineStr">
        <is>
          <t>NQS</t>
        </is>
      </c>
      <c r="H190" s="8" t="inlineStr">
        <is>
          <t>MS2</t>
        </is>
      </c>
      <c r="I190" s="16" t="n">
        <v>0.1</v>
      </c>
      <c r="J190" s="10">
        <f>Station_BOQ!R10</f>
        <v/>
      </c>
      <c r="K190" s="9">
        <f>I190*62000000*J190</f>
        <v/>
      </c>
      <c r="L190" s="18" t="n">
        <v>0.06900000000000001</v>
      </c>
      <c r="M190" s="9">
        <f>ROUND(K190*L190,0)</f>
        <v/>
      </c>
      <c r="N190" s="9" t="n">
        <v>23453</v>
      </c>
      <c r="O190" s="9">
        <f>N190-M190</f>
        <v/>
      </c>
      <c r="P190" s="8" t="inlineStr">
        <is>
          <t>MS2 Engineering submittal 10% x station price share 5.48% | Design stage key 6.9% of the engineering-submittal milestone</t>
        </is>
      </c>
      <c r="Q190" s="8" t="inlineStr">
        <is>
          <t>Annex 3 Design and engineering package (railway) allocated by station hardware share</t>
        </is>
      </c>
      <c r="R190" s="9" t="n">
        <v>30</v>
      </c>
      <c r="S190" s="19">
        <f>R190/1000</f>
        <v/>
      </c>
      <c r="T190" s="20" t="n">
        <v>46603</v>
      </c>
      <c r="U190" s="20" t="n">
        <v>46614</v>
      </c>
      <c r="V190" s="8" t="n">
        <v>8</v>
      </c>
    </row>
    <row r="191">
      <c r="A191" s="8" t="inlineStr">
        <is>
          <t>SH-DES</t>
        </is>
      </c>
      <c r="B191" s="8" t="inlineStr">
        <is>
          <t>Design and engineering package (per railway, allocated to the station)</t>
        </is>
      </c>
      <c r="C191" s="8" t="inlineStr">
        <is>
          <t>NQS-E1020</t>
        </is>
      </c>
      <c r="D191" s="8" t="inlineStr">
        <is>
          <t>Survey: SAR approval of survey report - Al Qassim</t>
        </is>
      </c>
      <c r="E191" s="8" t="inlineStr">
        <is>
          <t>ENG.NQS.SRV.APR</t>
        </is>
      </c>
      <c r="F191" s="8" t="inlineStr">
        <is>
          <t>Engineering</t>
        </is>
      </c>
      <c r="G191" s="8" t="inlineStr">
        <is>
          <t>NQS</t>
        </is>
      </c>
      <c r="H191" s="8" t="inlineStr">
        <is>
          <t>MS3</t>
        </is>
      </c>
      <c r="I191" s="16" t="n">
        <v>0.1</v>
      </c>
      <c r="J191" s="10">
        <f>Station_BOQ!R10</f>
        <v/>
      </c>
      <c r="K191" s="9">
        <f>I191*62000000*J191</f>
        <v/>
      </c>
      <c r="L191" s="18" t="n">
        <v>0.05</v>
      </c>
      <c r="M191" s="9">
        <f>ROUND(K191*L191,0)</f>
        <v/>
      </c>
      <c r="N191" s="9" t="n">
        <v>16995</v>
      </c>
      <c r="O191" s="9">
        <f>N191-M191</f>
        <v/>
      </c>
      <c r="P191" s="8" t="inlineStr">
        <is>
          <t>MS3 SAR approval of engineering 10% x station price share 5.48% | Design stage key 5.0% of the SAR-approval milestone</t>
        </is>
      </c>
      <c r="Q191" s="8" t="inlineStr">
        <is>
          <t>Annex 3 Design and engineering package (railway) allocated by station hardware share</t>
        </is>
      </c>
      <c r="R191" s="9" t="n">
        <v>32</v>
      </c>
      <c r="S191" s="19">
        <f>R191/1000</f>
        <v/>
      </c>
      <c r="T191" s="20" t="n">
        <v>46615</v>
      </c>
      <c r="U191" s="20" t="n">
        <v>46635</v>
      </c>
      <c r="V191" s="8" t="n">
        <v>15</v>
      </c>
    </row>
    <row r="192">
      <c r="A192" s="8" t="inlineStr">
        <is>
          <t>SH-DES</t>
        </is>
      </c>
      <c r="B192" s="8" t="inlineStr">
        <is>
          <t>Design and engineering package (per railway, allocated to the station)</t>
        </is>
      </c>
      <c r="C192" s="8" t="inlineStr">
        <is>
          <t>NQS-E1030</t>
        </is>
      </c>
      <c r="D192" s="8" t="inlineStr">
        <is>
          <t>Concept design: submittal - Al Qassim</t>
        </is>
      </c>
      <c r="E192" s="8" t="inlineStr">
        <is>
          <t>ENG.NQS.CNC.SUB</t>
        </is>
      </c>
      <c r="F192" s="8" t="inlineStr">
        <is>
          <t>Engineering</t>
        </is>
      </c>
      <c r="G192" s="8" t="inlineStr">
        <is>
          <t>NQS</t>
        </is>
      </c>
      <c r="H192" s="8" t="inlineStr">
        <is>
          <t>MS2</t>
        </is>
      </c>
      <c r="I192" s="16" t="n">
        <v>0.1</v>
      </c>
      <c r="J192" s="10">
        <f>Station_BOQ!R10</f>
        <v/>
      </c>
      <c r="K192" s="9">
        <f>I192*62000000*J192</f>
        <v/>
      </c>
      <c r="L192" s="18" t="n">
        <v>0.098</v>
      </c>
      <c r="M192" s="9">
        <f>ROUND(K192*L192,0)</f>
        <v/>
      </c>
      <c r="N192" s="9" t="n">
        <v>33309</v>
      </c>
      <c r="O192" s="9">
        <f>N192-M192</f>
        <v/>
      </c>
      <c r="P192" s="8" t="inlineStr">
        <is>
          <t>MS2 Engineering submittal 10% x station price share 5.48% | Design stage key 9.8% of the engineering-submittal milestone</t>
        </is>
      </c>
      <c r="Q192" s="8" t="inlineStr">
        <is>
          <t>Annex 3 Design and engineering package (railway) allocated by station hardware share</t>
        </is>
      </c>
      <c r="R192" s="9" t="n">
        <v>23</v>
      </c>
      <c r="S192" s="19">
        <f>R192/1000</f>
        <v/>
      </c>
      <c r="T192" s="20" t="n">
        <v>46615</v>
      </c>
      <c r="U192" s="20" t="n">
        <v>46625</v>
      </c>
      <c r="V192" s="8" t="n">
        <v>9</v>
      </c>
    </row>
    <row r="193">
      <c r="A193" s="8" t="inlineStr">
        <is>
          <t>SH-DES</t>
        </is>
      </c>
      <c r="B193" s="8" t="inlineStr">
        <is>
          <t>Design and engineering package (per railway, allocated to the station)</t>
        </is>
      </c>
      <c r="C193" s="8" t="inlineStr">
        <is>
          <t>NQS-E1040</t>
        </is>
      </c>
      <c r="D193" s="8" t="inlineStr">
        <is>
          <t>Concept design: SAR review and approval - Al Qassim</t>
        </is>
      </c>
      <c r="E193" s="8" t="inlineStr">
        <is>
          <t>ENG.NQS.CNC.APR</t>
        </is>
      </c>
      <c r="F193" s="8" t="inlineStr">
        <is>
          <t>Engineering</t>
        </is>
      </c>
      <c r="G193" s="8" t="inlineStr">
        <is>
          <t>NQS</t>
        </is>
      </c>
      <c r="H193" s="8" t="inlineStr">
        <is>
          <t>MS3</t>
        </is>
      </c>
      <c r="I193" s="16" t="n">
        <v>0.1</v>
      </c>
      <c r="J193" s="10">
        <f>Station_BOQ!R10</f>
        <v/>
      </c>
      <c r="K193" s="9">
        <f>I193*62000000*J193</f>
        <v/>
      </c>
      <c r="L193" s="18" t="n">
        <v>0.1</v>
      </c>
      <c r="M193" s="9">
        <f>ROUND(K193*L193,0)</f>
        <v/>
      </c>
      <c r="N193" s="9" t="n">
        <v>33989</v>
      </c>
      <c r="O193" s="9">
        <f>N193-M193</f>
        <v/>
      </c>
      <c r="P193" s="8" t="inlineStr">
        <is>
          <t>MS3 SAR approval of engineering 10% x station price share 5.48% | Design stage key 10.0% of the SAR-approval milestone</t>
        </is>
      </c>
      <c r="Q193" s="8" t="inlineStr">
        <is>
          <t>Annex 3 Design and engineering package (railway) allocated by station hardware share</t>
        </is>
      </c>
      <c r="R193" s="9" t="n">
        <v>39</v>
      </c>
      <c r="S193" s="19">
        <f>R193/1000</f>
        <v/>
      </c>
      <c r="T193" s="20" t="n">
        <v>46628</v>
      </c>
      <c r="U193" s="20" t="n">
        <v>46646</v>
      </c>
      <c r="V193" s="8" t="n">
        <v>15</v>
      </c>
    </row>
    <row r="194">
      <c r="A194" s="8" t="inlineStr">
        <is>
          <t>SH-DES</t>
        </is>
      </c>
      <c r="B194" s="8" t="inlineStr">
        <is>
          <t>Design and engineering package (per railway, allocated to the station)</t>
        </is>
      </c>
      <c r="C194" s="8" t="inlineStr">
        <is>
          <t>NQS-E1050</t>
        </is>
      </c>
      <c r="D194" s="8" t="inlineStr">
        <is>
          <t>Preliminary design: submittal - Al Qassim</t>
        </is>
      </c>
      <c r="E194" s="8" t="inlineStr">
        <is>
          <t>ENG.NQS.PRE.SUB</t>
        </is>
      </c>
      <c r="F194" s="8" t="inlineStr">
        <is>
          <t>Engineering</t>
        </is>
      </c>
      <c r="G194" s="8" t="inlineStr">
        <is>
          <t>NQS</t>
        </is>
      </c>
      <c r="H194" s="8" t="inlineStr">
        <is>
          <t>MS2</t>
        </is>
      </c>
      <c r="I194" s="16" t="n">
        <v>0.1</v>
      </c>
      <c r="J194" s="10">
        <f>Station_BOQ!R10</f>
        <v/>
      </c>
      <c r="K194" s="9">
        <f>I194*62000000*J194</f>
        <v/>
      </c>
      <c r="L194" s="18" t="n">
        <v>0.196</v>
      </c>
      <c r="M194" s="9">
        <f>ROUND(K194*L194,0)</f>
        <v/>
      </c>
      <c r="N194" s="9" t="n">
        <v>66619</v>
      </c>
      <c r="O194" s="9">
        <f>N194-M194</f>
        <v/>
      </c>
      <c r="P194" s="8" t="inlineStr">
        <is>
          <t>MS2 Engineering submittal 10% x station price share 5.48% | Design stage key 19.6% of the engineering-submittal milestone</t>
        </is>
      </c>
      <c r="Q194" s="8" t="inlineStr">
        <is>
          <t>Annex 3 Design and engineering package (railway) allocated by station hardware share</t>
        </is>
      </c>
      <c r="R194" s="9" t="n">
        <v>57</v>
      </c>
      <c r="S194" s="19">
        <f>R194/1000</f>
        <v/>
      </c>
      <c r="T194" s="20" t="n">
        <v>46628</v>
      </c>
      <c r="U194" s="20" t="n">
        <v>46649</v>
      </c>
      <c r="V194" s="8" t="n">
        <v>16</v>
      </c>
    </row>
    <row r="195">
      <c r="A195" s="8" t="inlineStr">
        <is>
          <t>SH-DES</t>
        </is>
      </c>
      <c r="B195" s="8" t="inlineStr">
        <is>
          <t>Design and engineering package (per railway, allocated to the station)</t>
        </is>
      </c>
      <c r="C195" s="8" t="inlineStr">
        <is>
          <t>NQS-E1060</t>
        </is>
      </c>
      <c r="D195" s="8" t="inlineStr">
        <is>
          <t>Preliminary design: SAR review and approval - Al Qassim</t>
        </is>
      </c>
      <c r="E195" s="8" t="inlineStr">
        <is>
          <t>ENG.NQS.PRE.APR</t>
        </is>
      </c>
      <c r="F195" s="8" t="inlineStr">
        <is>
          <t>Engineering</t>
        </is>
      </c>
      <c r="G195" s="8" t="inlineStr">
        <is>
          <t>NQS</t>
        </is>
      </c>
      <c r="H195" s="8" t="inlineStr">
        <is>
          <t>MS3</t>
        </is>
      </c>
      <c r="I195" s="16" t="n">
        <v>0.1</v>
      </c>
      <c r="J195" s="10">
        <f>Station_BOQ!R10</f>
        <v/>
      </c>
      <c r="K195" s="9">
        <f>I195*62000000*J195</f>
        <v/>
      </c>
      <c r="L195" s="18" t="n">
        <v>0.2</v>
      </c>
      <c r="M195" s="9">
        <f>ROUND(K195*L195,0)</f>
        <v/>
      </c>
      <c r="N195" s="9" t="n">
        <v>67978</v>
      </c>
      <c r="O195" s="9">
        <f>N195-M195</f>
        <v/>
      </c>
      <c r="P195" s="8" t="inlineStr">
        <is>
          <t>MS3 SAR approval of engineering 10% x station price share 5.48% | Design stage key 20.0% of the SAR-approval milestone</t>
        </is>
      </c>
      <c r="Q195" s="8" t="inlineStr">
        <is>
          <t>Annex 3 Design and engineering package (railway) allocated by station hardware share</t>
        </is>
      </c>
      <c r="R195" s="9" t="n">
        <v>54</v>
      </c>
      <c r="S195" s="19">
        <f>R195/1000</f>
        <v/>
      </c>
      <c r="T195" s="20" t="n">
        <v>46650</v>
      </c>
      <c r="U195" s="20" t="n">
        <v>46671</v>
      </c>
      <c r="V195" s="8" t="n">
        <v>15</v>
      </c>
    </row>
    <row r="196">
      <c r="A196" s="8" t="inlineStr">
        <is>
          <t>SH-DES</t>
        </is>
      </c>
      <c r="B196" s="8" t="inlineStr">
        <is>
          <t>Design and engineering package (per railway, allocated to the station)</t>
        </is>
      </c>
      <c r="C196" s="8" t="inlineStr">
        <is>
          <t>NQS-E1070</t>
        </is>
      </c>
      <c r="D196" s="8" t="inlineStr">
        <is>
          <t>Detailed design: submittal (drawings, BOQ, data sheets) - Al Qassim</t>
        </is>
      </c>
      <c r="E196" s="8" t="inlineStr">
        <is>
          <t>ENG.NQS.DET.SUB</t>
        </is>
      </c>
      <c r="F196" s="8" t="inlineStr">
        <is>
          <t>Engineering</t>
        </is>
      </c>
      <c r="G196" s="8" t="inlineStr">
        <is>
          <t>NQS</t>
        </is>
      </c>
      <c r="H196" s="8" t="inlineStr">
        <is>
          <t>MS2</t>
        </is>
      </c>
      <c r="I196" s="16" t="n">
        <v>0.1</v>
      </c>
      <c r="J196" s="10">
        <f>Station_BOQ!R10</f>
        <v/>
      </c>
      <c r="K196" s="9">
        <f>I196*62000000*J196</f>
        <v/>
      </c>
      <c r="L196" s="18" t="n">
        <v>0.392</v>
      </c>
      <c r="M196" s="9">
        <f>ROUND(K196*L196,0)</f>
        <v/>
      </c>
      <c r="N196" s="9" t="n">
        <v>133238</v>
      </c>
      <c r="O196" s="9">
        <f>N196-M196</f>
        <v/>
      </c>
      <c r="P196" s="8" t="inlineStr">
        <is>
          <t>MS2 Engineering submittal 10% x station price share 5.48% | Design stage key 39.2% of the engineering-submittal milestone</t>
        </is>
      </c>
      <c r="Q196" s="8" t="inlineStr">
        <is>
          <t>Annex 3 Design and engineering package (railway) allocated by station hardware share</t>
        </is>
      </c>
      <c r="R196" s="9" t="n">
        <v>116</v>
      </c>
      <c r="S196" s="19">
        <f>R196/1000</f>
        <v/>
      </c>
      <c r="T196" s="20" t="n">
        <v>46650</v>
      </c>
      <c r="U196" s="20" t="n">
        <v>46685</v>
      </c>
      <c r="V196" s="8" t="n">
        <v>25</v>
      </c>
    </row>
    <row r="197">
      <c r="A197" s="8" t="inlineStr">
        <is>
          <t>SH-DES</t>
        </is>
      </c>
      <c r="B197" s="8" t="inlineStr">
        <is>
          <t>Design and engineering package (per railway, allocated to the station)</t>
        </is>
      </c>
      <c r="C197" s="8" t="inlineStr">
        <is>
          <t>NQS-E1080</t>
        </is>
      </c>
      <c r="D197" s="8" t="inlineStr">
        <is>
          <t>Detailed design: SAR review and approval - Al Qassim</t>
        </is>
      </c>
      <c r="E197" s="8" t="inlineStr">
        <is>
          <t>ENG.NQS.DET.APR</t>
        </is>
      </c>
      <c r="F197" s="8" t="inlineStr">
        <is>
          <t>Engineering</t>
        </is>
      </c>
      <c r="G197" s="8" t="inlineStr">
        <is>
          <t>NQS</t>
        </is>
      </c>
      <c r="H197" s="8" t="inlineStr">
        <is>
          <t>MS3</t>
        </is>
      </c>
      <c r="I197" s="16" t="n">
        <v>0.1</v>
      </c>
      <c r="J197" s="10">
        <f>Station_BOQ!R10</f>
        <v/>
      </c>
      <c r="K197" s="9">
        <f>I197*62000000*J197</f>
        <v/>
      </c>
      <c r="L197" s="18" t="n">
        <v>0.4</v>
      </c>
      <c r="M197" s="9">
        <f>ROUND(K197*L197,0)</f>
        <v/>
      </c>
      <c r="N197" s="9" t="n">
        <v>135957</v>
      </c>
      <c r="O197" s="9">
        <f>N197-M197</f>
        <v/>
      </c>
      <c r="P197" s="8" t="inlineStr">
        <is>
          <t>MS3 SAR approval of engineering 10% x station price share 5.48% | Design stage key 40.0% of the SAR-approval milestone</t>
        </is>
      </c>
      <c r="Q197" s="8" t="inlineStr">
        <is>
          <t>Annex 3 Design and engineering package (railway) allocated by station hardware share</t>
        </is>
      </c>
      <c r="R197" s="9" t="n">
        <v>70</v>
      </c>
      <c r="S197" s="19">
        <f>R197/1000</f>
        <v/>
      </c>
      <c r="T197" s="20" t="n">
        <v>46686</v>
      </c>
      <c r="U197" s="20" t="n">
        <v>46706</v>
      </c>
      <c r="V197" s="8" t="n">
        <v>15</v>
      </c>
    </row>
    <row r="198">
      <c r="A198" s="8" t="inlineStr">
        <is>
          <t>SH-DES</t>
        </is>
      </c>
      <c r="B198" s="8" t="inlineStr">
        <is>
          <t>Design and engineering package (per railway, allocated to the station)</t>
        </is>
      </c>
      <c r="C198" s="8" t="inlineStr">
        <is>
          <t>NQS-E1090</t>
        </is>
      </c>
      <c r="D198" s="8" t="inlineStr">
        <is>
          <t>IFC and shop drawings: submittal - Al Qassim</t>
        </is>
      </c>
      <c r="E198" s="8" t="inlineStr">
        <is>
          <t>ENG.NQS.IFC.SUB</t>
        </is>
      </c>
      <c r="F198" s="8" t="inlineStr">
        <is>
          <t>Engineering</t>
        </is>
      </c>
      <c r="G198" s="8" t="inlineStr">
        <is>
          <t>NQS</t>
        </is>
      </c>
      <c r="H198" s="8" t="inlineStr">
        <is>
          <t>MS2</t>
        </is>
      </c>
      <c r="I198" s="16" t="n">
        <v>0.1</v>
      </c>
      <c r="J198" s="10">
        <f>Station_BOQ!R10</f>
        <v/>
      </c>
      <c r="K198" s="9">
        <f>I198*62000000*J198</f>
        <v/>
      </c>
      <c r="L198" s="18" t="n">
        <v>0.196</v>
      </c>
      <c r="M198" s="9">
        <f>ROUND(K198*L198,0)</f>
        <v/>
      </c>
      <c r="N198" s="9" t="n">
        <v>66619</v>
      </c>
      <c r="O198" s="9">
        <f>N198-M198</f>
        <v/>
      </c>
      <c r="P198" s="8" t="inlineStr">
        <is>
          <t>MS2 Engineering submittal 10% x station price share 5.48% | Design stage key 19.6% of the engineering-submittal milestone</t>
        </is>
      </c>
      <c r="Q198" s="8" t="inlineStr">
        <is>
          <t>Annex 3 Design and engineering package (railway) allocated by station hardware share</t>
        </is>
      </c>
      <c r="R198" s="9" t="n">
        <v>52</v>
      </c>
      <c r="S198" s="19">
        <f>R198/1000</f>
        <v/>
      </c>
      <c r="T198" s="20" t="n">
        <v>46686</v>
      </c>
      <c r="U198" s="20" t="n">
        <v>46702</v>
      </c>
      <c r="V198" s="8" t="n">
        <v>13</v>
      </c>
    </row>
    <row r="199">
      <c r="A199" s="8" t="inlineStr">
        <is>
          <t>SH-DES</t>
        </is>
      </c>
      <c r="B199" s="8" t="inlineStr">
        <is>
          <t>Design and engineering package (per railway, allocated to the station)</t>
        </is>
      </c>
      <c r="C199" s="8" t="inlineStr">
        <is>
          <t>NQS-E1100</t>
        </is>
      </c>
      <c r="D199" s="8" t="inlineStr">
        <is>
          <t>IFC and shop drawings: SAR approval and release - Al Qassim</t>
        </is>
      </c>
      <c r="E199" s="8" t="inlineStr">
        <is>
          <t>ENG.NQS.IFC.APR</t>
        </is>
      </c>
      <c r="F199" s="8" t="inlineStr">
        <is>
          <t>Engineering</t>
        </is>
      </c>
      <c r="G199" s="8" t="inlineStr">
        <is>
          <t>NQS</t>
        </is>
      </c>
      <c r="H199" s="8" t="inlineStr">
        <is>
          <t>MS3</t>
        </is>
      </c>
      <c r="I199" s="16" t="n">
        <v>0.1</v>
      </c>
      <c r="J199" s="10">
        <f>Station_BOQ!R10</f>
        <v/>
      </c>
      <c r="K199" s="9">
        <f>I199*62000000*J199</f>
        <v/>
      </c>
      <c r="L199" s="18" t="n">
        <v>0.2</v>
      </c>
      <c r="M199" s="9">
        <f>ROUND(K199*L199,0)</f>
        <v/>
      </c>
      <c r="N199" s="9" t="n">
        <v>67978</v>
      </c>
      <c r="O199" s="9">
        <f>N199-M199</f>
        <v/>
      </c>
      <c r="P199" s="8" t="inlineStr">
        <is>
          <t>MS3 SAR approval of engineering 10% x station price share 5.48% | Design stage key 20.0% of the SAR-approval milestone</t>
        </is>
      </c>
      <c r="Q199" s="8" t="inlineStr">
        <is>
          <t>Annex 3 Design and engineering package (railway) allocated by station hardware share</t>
        </is>
      </c>
      <c r="R199" s="9" t="n">
        <v>60</v>
      </c>
      <c r="S199" s="19">
        <f>R199/1000</f>
        <v/>
      </c>
      <c r="T199" s="20" t="n">
        <v>46705</v>
      </c>
      <c r="U199" s="20" t="n">
        <v>46723</v>
      </c>
      <c r="V199" s="8" t="n">
        <v>15</v>
      </c>
    </row>
    <row r="200">
      <c r="A200" s="8" t="inlineStr">
        <is>
          <t>SH-DES</t>
        </is>
      </c>
      <c r="B200" s="8" t="inlineStr">
        <is>
          <t>Design and engineering package (per railway, allocated to the station)</t>
        </is>
      </c>
      <c r="C200" s="8" t="inlineStr">
        <is>
          <t>NQS-E1110</t>
        </is>
      </c>
      <c r="D200" s="8" t="inlineStr">
        <is>
          <t>HCIS Stage 3 and 4 documents: preparation - Al Qassim</t>
        </is>
      </c>
      <c r="E200" s="8" t="inlineStr">
        <is>
          <t>ENG.NQS.HCS.SUB</t>
        </is>
      </c>
      <c r="F200" s="8" t="inlineStr">
        <is>
          <t>Engineering</t>
        </is>
      </c>
      <c r="G200" s="8" t="inlineStr">
        <is>
          <t>NQS</t>
        </is>
      </c>
      <c r="H200" s="8" t="inlineStr">
        <is>
          <t>MS2</t>
        </is>
      </c>
      <c r="I200" s="16" t="n">
        <v>0.1</v>
      </c>
      <c r="J200" s="10">
        <f>Station_BOQ!R10</f>
        <v/>
      </c>
      <c r="K200" s="9">
        <f>I200*62000000*J200</f>
        <v/>
      </c>
      <c r="L200" s="18" t="n">
        <v>0.049</v>
      </c>
      <c r="M200" s="9">
        <f>ROUND(K200*L200,0)</f>
        <v/>
      </c>
      <c r="N200" s="9" t="n">
        <v>16655</v>
      </c>
      <c r="O200" s="9">
        <f>N200-M200</f>
        <v/>
      </c>
      <c r="P200" s="8" t="inlineStr">
        <is>
          <t>MS2 Engineering submittal 10% x station price share 5.48% | Design stage key 4.9% of the engineering-submittal milestone</t>
        </is>
      </c>
      <c r="Q200" s="8" t="inlineStr">
        <is>
          <t>Annex 3 Design and engineering package (railway) allocated by station hardware share</t>
        </is>
      </c>
      <c r="R200" s="9" t="n">
        <v>24</v>
      </c>
      <c r="S200" s="19">
        <f>R200/1000</f>
        <v/>
      </c>
      <c r="T200" s="20" t="n">
        <v>46664</v>
      </c>
      <c r="U200" s="20" t="n">
        <v>46702</v>
      </c>
      <c r="V200" s="8" t="n">
        <v>29</v>
      </c>
    </row>
    <row r="201">
      <c r="A201" s="8" t="inlineStr">
        <is>
          <t>SH-DES</t>
        </is>
      </c>
      <c r="B201" s="8" t="inlineStr">
        <is>
          <t>Design and engineering package (per railway, allocated to the station)</t>
        </is>
      </c>
      <c r="C201" s="8" t="inlineStr">
        <is>
          <t>NQS-E1120</t>
        </is>
      </c>
      <c r="D201" s="8" t="inlineStr">
        <is>
          <t>HCIS Stage 3 and 4 documents: SAR final review and HCIS submission - Al Qassim</t>
        </is>
      </c>
      <c r="E201" s="8" t="inlineStr">
        <is>
          <t>ENG.NQS.HCS.APR</t>
        </is>
      </c>
      <c r="F201" s="8" t="inlineStr">
        <is>
          <t>Engineering</t>
        </is>
      </c>
      <c r="G201" s="8" t="inlineStr">
        <is>
          <t>NQS</t>
        </is>
      </c>
      <c r="H201" s="8" t="inlineStr">
        <is>
          <t>MS3</t>
        </is>
      </c>
      <c r="I201" s="16" t="n">
        <v>0.1</v>
      </c>
      <c r="J201" s="10">
        <f>Station_BOQ!R10</f>
        <v/>
      </c>
      <c r="K201" s="9">
        <f>I201*62000000*J201</f>
        <v/>
      </c>
      <c r="L201" s="18" t="n">
        <v>0.05</v>
      </c>
      <c r="M201" s="9">
        <f>ROUND(K201*L201,0)</f>
        <v/>
      </c>
      <c r="N201" s="9" t="n">
        <v>16995</v>
      </c>
      <c r="O201" s="9">
        <f>N201-M201</f>
        <v/>
      </c>
      <c r="P201" s="8" t="inlineStr">
        <is>
          <t>MS3 SAR approval of engineering 10% x station price share 5.48% | Design stage key 5.0% of the SAR-approval milestone</t>
        </is>
      </c>
      <c r="Q201" s="8" t="inlineStr">
        <is>
          <t>Annex 3 Design and engineering package (railway) allocated by station hardware share</t>
        </is>
      </c>
      <c r="R201" s="9" t="n">
        <v>13</v>
      </c>
      <c r="S201" s="19">
        <f>R201/1000</f>
        <v/>
      </c>
      <c r="T201" s="20" t="n">
        <v>46705</v>
      </c>
      <c r="U201" s="20" t="n">
        <v>46723</v>
      </c>
      <c r="V201" s="8" t="n">
        <v>15</v>
      </c>
    </row>
    <row r="202">
      <c r="A202" s="8" t="inlineStr">
        <is>
          <t>SH-DES, SH-TRN</t>
        </is>
      </c>
      <c r="B202" s="8" t="inlineStr">
        <is>
          <t>Design and engineering package (per railway, allocated to the station) and Training (per railway, allocated): documentation and training share</t>
        </is>
      </c>
      <c r="C202" s="8" t="inlineStr">
        <is>
          <t>NQS-E1130</t>
        </is>
      </c>
      <c r="D202" s="8" t="inlineStr">
        <is>
          <t>As-built and O&amp;M documentation: submittal - Al Qassim</t>
        </is>
      </c>
      <c r="E202" s="8" t="inlineStr">
        <is>
          <t>ENG.NQS.ASB.SUB</t>
        </is>
      </c>
      <c r="F202" s="8" t="inlineStr">
        <is>
          <t>Engineering</t>
        </is>
      </c>
      <c r="G202" s="8" t="inlineStr">
        <is>
          <t>NQS</t>
        </is>
      </c>
      <c r="H202" s="8" t="inlineStr">
        <is>
          <t>MS7</t>
        </is>
      </c>
      <c r="I202" s="16" t="n">
        <v>0.1</v>
      </c>
      <c r="J202" s="10">
        <f>Station_BOQ!R10</f>
        <v/>
      </c>
      <c r="K202" s="9">
        <f>I202*62000000*J202</f>
        <v/>
      </c>
      <c r="L202" s="18" t="n">
        <v>0.15</v>
      </c>
      <c r="M202" s="9">
        <f>ROUND(K202*L202,0)</f>
        <v/>
      </c>
      <c r="N202" s="9" t="n">
        <v>50984</v>
      </c>
      <c r="O202" s="9">
        <f>N202-M202</f>
        <v/>
      </c>
      <c r="P202" s="8" t="inlineStr">
        <is>
          <t>MS7 Final acceptance and handover 10% x station price share 5.48% | Fixed key 15% of final-acceptance milestone</t>
        </is>
      </c>
      <c r="Q202" s="8" t="inlineStr">
        <is>
          <t>Annex 3 documentation and training share</t>
        </is>
      </c>
      <c r="R202" s="9" t="n">
        <v>40</v>
      </c>
      <c r="S202" s="19">
        <f>R202/1000</f>
        <v/>
      </c>
      <c r="T202" s="20" t="n">
        <v>46918</v>
      </c>
      <c r="U202" s="20" t="n">
        <v>46957</v>
      </c>
      <c r="V202" s="8" t="n">
        <v>28</v>
      </c>
    </row>
    <row r="203">
      <c r="A203" s="8" t="inlineStr">
        <is>
          <t>SH-DES</t>
        </is>
      </c>
      <c r="B203" s="8" t="inlineStr">
        <is>
          <t>Design and engineering package (per railway, allocated to the station): documentation share</t>
        </is>
      </c>
      <c r="C203" s="8" t="inlineStr">
        <is>
          <t>NQS-E1140</t>
        </is>
      </c>
      <c r="D203" s="8" t="inlineStr">
        <is>
          <t>As-built and O&amp;M documentation: SAR review and approval - Al Qassim</t>
        </is>
      </c>
      <c r="E203" s="8" t="inlineStr">
        <is>
          <t>ENG.NQS.ASB.APR</t>
        </is>
      </c>
      <c r="F203" s="8" t="inlineStr">
        <is>
          <t>Engineering</t>
        </is>
      </c>
      <c r="G203" s="8" t="inlineStr">
        <is>
          <t>NQS</t>
        </is>
      </c>
      <c r="H203" s="8" t="inlineStr">
        <is>
          <t>MS7</t>
        </is>
      </c>
      <c r="I203" s="16" t="n">
        <v>0.1</v>
      </c>
      <c r="J203" s="10">
        <f>Station_BOQ!R10</f>
        <v/>
      </c>
      <c r="K203" s="9">
        <f>I203*62000000*J203</f>
        <v/>
      </c>
      <c r="L203" s="18" t="n">
        <v>0.05</v>
      </c>
      <c r="M203" s="9">
        <f>ROUND(K203*L203,0)</f>
        <v/>
      </c>
      <c r="N203" s="9" t="n">
        <v>16995</v>
      </c>
      <c r="O203" s="9">
        <f>N203-M203</f>
        <v/>
      </c>
      <c r="P203" s="8" t="inlineStr">
        <is>
          <t>MS7 Final acceptance and handover 10% x station price share 5.48% | Fixed key 5%</t>
        </is>
      </c>
      <c r="Q203" s="8" t="inlineStr">
        <is>
          <t>Annex 3 documentation share</t>
        </is>
      </c>
      <c r="R203" s="9" t="n">
        <v>22</v>
      </c>
      <c r="S203" s="19">
        <f>R203/1000</f>
        <v/>
      </c>
      <c r="T203" s="20" t="n">
        <v>46958</v>
      </c>
      <c r="U203" s="20" t="n">
        <v>46978</v>
      </c>
      <c r="V203" s="8" t="n">
        <v>15</v>
      </c>
    </row>
    <row r="204">
      <c r="A204" s="8" t="inlineStr">
        <is>
          <t>-</t>
        </is>
      </c>
      <c r="B204" s="8" t="inlineStr">
        <is>
          <t>No BOQ cost: administrative or review step with no payment milestone</t>
        </is>
      </c>
      <c r="C204" s="8" t="inlineStr">
        <is>
          <t>NQS-X1010</t>
        </is>
      </c>
      <c r="D204" s="8" t="inlineStr">
        <is>
          <t>Enabling works: site preparation, setting out, temporary works and utilities clearance - Al Qassim</t>
        </is>
      </c>
      <c r="E204" s="8" t="inlineStr">
        <is>
          <t>CON.NQS.ENA</t>
        </is>
      </c>
      <c r="F204" s="8" t="inlineStr">
        <is>
          <t>Construction</t>
        </is>
      </c>
      <c r="G204" s="8" t="inlineStr">
        <is>
          <t>NQS</t>
        </is>
      </c>
      <c r="H204" s="8" t="inlineStr">
        <is>
          <t>MS5</t>
        </is>
      </c>
      <c r="I204" s="16" t="n">
        <v>0.2</v>
      </c>
      <c r="J204" s="10">
        <f>Station_BOQ!R10</f>
        <v/>
      </c>
      <c r="K204" s="9">
        <f>I204*62000000*J204</f>
        <v/>
      </c>
      <c r="L204" s="18" t="n">
        <v>0.0124039217219117</v>
      </c>
      <c r="M204" s="9">
        <f>ROUND(K204*L204,0)</f>
        <v/>
      </c>
      <c r="N204" s="9" t="n">
        <v>8432</v>
      </c>
      <c r="O204" s="9">
        <f>N204-M204</f>
        <v/>
      </c>
      <c r="P204" s="8" t="inlineStr">
        <is>
          <t>MS5 Installation 20% x station price share 5.48% | BOQ civil share 31.0% x 4% (enabling: site preparation)</t>
        </is>
      </c>
      <c r="Q204" s="8" t="inlineStr">
        <is>
          <t>Annex 3 A6 Civil works (SAR 745,743)</t>
        </is>
      </c>
      <c r="R204" s="9" t="n">
        <v>53</v>
      </c>
      <c r="S204" s="19">
        <f>R204/1000</f>
        <v/>
      </c>
      <c r="T204" s="20" t="n">
        <v>46726</v>
      </c>
      <c r="U204" s="20" t="n">
        <v>46730</v>
      </c>
      <c r="V204" s="8" t="n">
        <v>5</v>
      </c>
    </row>
    <row r="205">
      <c r="A205" s="8" t="inlineStr">
        <is>
          <t>-</t>
        </is>
      </c>
      <c r="B205" s="8" t="inlineStr">
        <is>
          <t>No BOQ cost: administrative or review step with no payment milestone</t>
        </is>
      </c>
      <c r="C205" s="8" t="inlineStr">
        <is>
          <t>NQS-X1020</t>
        </is>
      </c>
      <c r="D205" s="8" t="inlineStr">
        <is>
          <t>Enabling works: cable routes, duct-bank and cabinet plinth preparation - Al Qassim</t>
        </is>
      </c>
      <c r="E205" s="8" t="inlineStr">
        <is>
          <t>CON.NQS.ENA</t>
        </is>
      </c>
      <c r="F205" s="8" t="inlineStr">
        <is>
          <t>Construction</t>
        </is>
      </c>
      <c r="G205" s="8" t="inlineStr">
        <is>
          <t>NQS</t>
        </is>
      </c>
      <c r="H205" s="8" t="inlineStr">
        <is>
          <t>MS5</t>
        </is>
      </c>
      <c r="I205" s="16" t="n">
        <v>0.2</v>
      </c>
      <c r="J205" s="10">
        <f>Station_BOQ!R10</f>
        <v/>
      </c>
      <c r="K205" s="9">
        <f>I205*62000000*J205</f>
        <v/>
      </c>
      <c r="L205" s="18" t="n">
        <v>0.01860588258286754</v>
      </c>
      <c r="M205" s="9">
        <f>ROUND(K205*L205,0)</f>
        <v/>
      </c>
      <c r="N205" s="9" t="n">
        <v>12648</v>
      </c>
      <c r="O205" s="9">
        <f>N205-M205</f>
        <v/>
      </c>
      <c r="P205" s="8" t="inlineStr">
        <is>
          <t>MS5 Installation 20% x station price share 5.48% | BOQ civil share 31.0% x 6% (enabling: routes, ducts, plinths)</t>
        </is>
      </c>
      <c r="Q205" s="8" t="inlineStr">
        <is>
          <t>Annex 3 A6 Civil works (SAR 745,743)</t>
        </is>
      </c>
      <c r="R205" s="9" t="n">
        <v>79</v>
      </c>
      <c r="S205" s="19">
        <f>R205/1000</f>
        <v/>
      </c>
      <c r="T205" s="20" t="n">
        <v>46733</v>
      </c>
      <c r="U205" s="20" t="n">
        <v>46744</v>
      </c>
      <c r="V205" s="8" t="n">
        <v>10</v>
      </c>
    </row>
    <row r="206">
      <c r="A206" s="8" t="inlineStr">
        <is>
          <t>A1</t>
        </is>
      </c>
      <c r="B206" s="8" t="inlineStr">
        <is>
          <t>A1 CCTV system</t>
        </is>
      </c>
      <c r="C206" s="8" t="inlineStr">
        <is>
          <t>NQS-P1010</t>
        </is>
      </c>
      <c r="D206" s="8" t="inlineStr">
        <is>
          <t>Manufacture CCTV cameras and analytics - Al Qassim</t>
        </is>
      </c>
      <c r="E206" s="8" t="inlineStr">
        <is>
          <t>PRO.NQS.CCT</t>
        </is>
      </c>
      <c r="F206" s="8" t="inlineStr">
        <is>
          <t>Procurement</t>
        </is>
      </c>
      <c r="G206" s="8" t="inlineStr">
        <is>
          <t>NQS</t>
        </is>
      </c>
      <c r="H206" s="8" t="inlineStr">
        <is>
          <t>MS4</t>
        </is>
      </c>
      <c r="I206" s="16" t="n">
        <v>0.2</v>
      </c>
      <c r="J206" s="10">
        <f>Station_BOQ!R10</f>
        <v/>
      </c>
      <c r="K206" s="9">
        <f>I206*62000000*J206</f>
        <v/>
      </c>
      <c r="L206" s="18" t="n">
        <v>0.1532390081724096</v>
      </c>
      <c r="M206" s="9">
        <f>ROUND(K206*L206,0)</f>
        <v/>
      </c>
      <c r="N206" s="9" t="n">
        <v>104169</v>
      </c>
      <c r="O206" s="9">
        <f>N206-M206</f>
        <v/>
      </c>
      <c r="P206" s="8" t="inlineStr">
        <is>
          <t>MS4 Material delivery 20% x station price share 5.48% | BOQ section share 20.4% of station equipment x 75% (manufacture)</t>
        </is>
      </c>
      <c r="Q206" s="8" t="inlineStr">
        <is>
          <t>Annex 3 A1 CCTV system (SAR 338,989)</t>
        </is>
      </c>
      <c r="R206" s="9" t="n">
        <v>258</v>
      </c>
      <c r="S206" s="19">
        <f>R206/1000</f>
        <v/>
      </c>
      <c r="T206" s="20" t="n">
        <v>46726</v>
      </c>
      <c r="U206" s="20" t="n">
        <v>46790</v>
      </c>
      <c r="V206" s="8" t="n">
        <v>47</v>
      </c>
    </row>
    <row r="207">
      <c r="A207" s="8" t="inlineStr">
        <is>
          <t>A2</t>
        </is>
      </c>
      <c r="B207" s="8" t="inlineStr">
        <is>
          <t>A2 Video management and video wall</t>
        </is>
      </c>
      <c r="C207" s="8" t="inlineStr">
        <is>
          <t>NQS-P1020</t>
        </is>
      </c>
      <c r="D207" s="8" t="inlineStr">
        <is>
          <t>Manufacture video management servers, storage and video wall - Al Qassim</t>
        </is>
      </c>
      <c r="E207" s="8" t="inlineStr">
        <is>
          <t>PRO.NQS.VMS</t>
        </is>
      </c>
      <c r="F207" s="8" t="inlineStr">
        <is>
          <t>Procurement</t>
        </is>
      </c>
      <c r="G207" s="8" t="inlineStr">
        <is>
          <t>NQS</t>
        </is>
      </c>
      <c r="H207" s="8" t="inlineStr">
        <is>
          <t>MS4</t>
        </is>
      </c>
      <c r="I207" s="16" t="n">
        <v>0.2</v>
      </c>
      <c r="J207" s="10">
        <f>Station_BOQ!R10</f>
        <v/>
      </c>
      <c r="K207" s="9">
        <f>I207*62000000*J207</f>
        <v/>
      </c>
      <c r="L207" s="18" t="n">
        <v>0.1623821136398294</v>
      </c>
      <c r="M207" s="9">
        <f>ROUND(K207*L207,0)</f>
        <v/>
      </c>
      <c r="N207" s="9" t="n">
        <v>110385</v>
      </c>
      <c r="O207" s="9">
        <f>N207-M207</f>
        <v/>
      </c>
      <c r="P207" s="8" t="inlineStr">
        <is>
          <t>MS4 Material delivery 20% x station price share 5.48% | BOQ section share 21.7% of station equipment x 75% (manufacture)</t>
        </is>
      </c>
      <c r="Q207" s="8" t="inlineStr">
        <is>
          <t>Annex 3 A2 Video management and wall (SAR 359,215)</t>
        </is>
      </c>
      <c r="R207" s="9" t="n">
        <v>273</v>
      </c>
      <c r="S207" s="19">
        <f>R207/1000</f>
        <v/>
      </c>
      <c r="T207" s="20" t="n">
        <v>46726</v>
      </c>
      <c r="U207" s="20" t="n">
        <v>46790</v>
      </c>
      <c r="V207" s="8" t="n">
        <v>47</v>
      </c>
    </row>
    <row r="208">
      <c r="A208" s="8" t="inlineStr">
        <is>
          <t>A3</t>
        </is>
      </c>
      <c r="B208" s="8" t="inlineStr">
        <is>
          <t>A3 Access control and intercom</t>
        </is>
      </c>
      <c r="C208" s="8" t="inlineStr">
        <is>
          <t>NQS-P1030</t>
        </is>
      </c>
      <c r="D208" s="8" t="inlineStr">
        <is>
          <t>Manufacture access control and intercom equipment - Al Qassim</t>
        </is>
      </c>
      <c r="E208" s="8" t="inlineStr">
        <is>
          <t>PRO.NQS.ACC</t>
        </is>
      </c>
      <c r="F208" s="8" t="inlineStr">
        <is>
          <t>Procurement</t>
        </is>
      </c>
      <c r="G208" s="8" t="inlineStr">
        <is>
          <t>NQS</t>
        </is>
      </c>
      <c r="H208" s="8" t="inlineStr">
        <is>
          <t>MS4</t>
        </is>
      </c>
      <c r="I208" s="16" t="n">
        <v>0.2</v>
      </c>
      <c r="J208" s="10">
        <f>Station_BOQ!R10</f>
        <v/>
      </c>
      <c r="K208" s="9">
        <f>I208*62000000*J208</f>
        <v/>
      </c>
      <c r="L208" s="18" t="n">
        <v>0.01992849819693464</v>
      </c>
      <c r="M208" s="9">
        <f>ROUND(K208*L208,0)</f>
        <v/>
      </c>
      <c r="N208" s="9" t="n">
        <v>13547</v>
      </c>
      <c r="O208" s="9">
        <f>N208-M208</f>
        <v/>
      </c>
      <c r="P208" s="8" t="inlineStr">
        <is>
          <t>MS4 Material delivery 20% x station price share 5.48% | BOQ section share 2.7% of station equipment x 75% (manufacture)</t>
        </is>
      </c>
      <c r="Q208" s="8" t="inlineStr">
        <is>
          <t>Annex 3 A3 Access control and intercom (SAR 44,085)</t>
        </is>
      </c>
      <c r="R208" s="9" t="n">
        <v>34</v>
      </c>
      <c r="S208" s="19">
        <f>R208/1000</f>
        <v/>
      </c>
      <c r="T208" s="20" t="n">
        <v>46726</v>
      </c>
      <c r="U208" s="20" t="n">
        <v>46790</v>
      </c>
      <c r="V208" s="8" t="n">
        <v>47</v>
      </c>
    </row>
    <row r="209">
      <c r="A209" s="8" t="inlineStr">
        <is>
          <t>A4, A5</t>
        </is>
      </c>
      <c r="B209" s="8" t="inlineStr">
        <is>
          <t>A4 UPS and A5 Poles, cabinets and network</t>
        </is>
      </c>
      <c r="C209" s="8" t="inlineStr">
        <is>
          <t>NQS-P1040</t>
        </is>
      </c>
      <c r="D209" s="8" t="inlineStr">
        <is>
          <t>Manufacture UPS, network switches and field cabinets - Al Qassim</t>
        </is>
      </c>
      <c r="E209" s="8" t="inlineStr">
        <is>
          <t>PRO.NQS.UPN</t>
        </is>
      </c>
      <c r="F209" s="8" t="inlineStr">
        <is>
          <t>Procurement</t>
        </is>
      </c>
      <c r="G209" s="8" t="inlineStr">
        <is>
          <t>NQS</t>
        </is>
      </c>
      <c r="H209" s="8" t="inlineStr">
        <is>
          <t>MS4</t>
        </is>
      </c>
      <c r="I209" s="16" t="n">
        <v>0.2</v>
      </c>
      <c r="J209" s="10">
        <f>Station_BOQ!R10</f>
        <v/>
      </c>
      <c r="K209" s="9">
        <f>I209*62000000*J209</f>
        <v/>
      </c>
      <c r="L209" s="18" t="n">
        <v>0.4144503799908265</v>
      </c>
      <c r="M209" s="9">
        <f>ROUND(K209*L209,0)</f>
        <v/>
      </c>
      <c r="N209" s="9" t="n">
        <v>281736</v>
      </c>
      <c r="O209" s="9">
        <f>N209-M209</f>
        <v/>
      </c>
      <c r="P209" s="8" t="inlineStr">
        <is>
          <t>MS4 Material delivery 20% x station price share 5.48% | BOQ section share 55.3% of station equipment x 75% (manufacture)</t>
        </is>
      </c>
      <c r="Q209" s="8" t="inlineStr">
        <is>
          <t>Annex 3 A4 UPS + A5 poles, cabinets and network (SAR 916,830)</t>
        </is>
      </c>
      <c r="R209" s="9" t="n">
        <v>698</v>
      </c>
      <c r="S209" s="19">
        <f>R209/1000</f>
        <v/>
      </c>
      <c r="T209" s="20" t="n">
        <v>46726</v>
      </c>
      <c r="U209" s="20" t="n">
        <v>46790</v>
      </c>
      <c r="V209" s="8" t="n">
        <v>47</v>
      </c>
    </row>
    <row r="210">
      <c r="A210" s="8" t="inlineStr">
        <is>
          <t>SH-FAT</t>
        </is>
      </c>
      <c r="B210" s="8" t="inlineStr">
        <is>
          <t>Factory acceptance test (per railway, allocated)</t>
        </is>
      </c>
      <c r="C210" s="8" t="inlineStr">
        <is>
          <t>NQS-P1050</t>
        </is>
      </c>
      <c r="D210" s="8" t="inlineStr">
        <is>
          <t>Factory acceptance test at vendor premises - Al Qassim</t>
        </is>
      </c>
      <c r="E210" s="8" t="inlineStr">
        <is>
          <t>PRO.NQS.LOG</t>
        </is>
      </c>
      <c r="F210" s="8" t="inlineStr">
        <is>
          <t>Procurement</t>
        </is>
      </c>
      <c r="G210" s="8" t="inlineStr">
        <is>
          <t>NQS</t>
        </is>
      </c>
      <c r="H210" s="8" t="inlineStr">
        <is>
          <t>MS4</t>
        </is>
      </c>
      <c r="I210" s="16" t="n">
        <v>0.2</v>
      </c>
      <c r="J210" s="10">
        <f>Station_BOQ!R10</f>
        <v/>
      </c>
      <c r="K210" s="9">
        <f>I210*62000000*J210</f>
        <v/>
      </c>
      <c r="L210" s="18" t="n">
        <v>0.05</v>
      </c>
      <c r="M210" s="9">
        <f>ROUND(K210*L210,0)</f>
        <v/>
      </c>
      <c r="N210" s="9" t="n">
        <v>33989</v>
      </c>
      <c r="O210" s="9">
        <f>N210-M210</f>
        <v/>
      </c>
      <c r="P210" s="8" t="inlineStr">
        <is>
          <t>MS4 Material delivery 20% x station price share 5.48% | Fixed key 5% (FAT)</t>
        </is>
      </c>
      <c r="Q210" s="8" t="inlineStr">
        <is>
          <t>Annex 3 Factory acceptance test (railway), allocated by hardware share</t>
        </is>
      </c>
      <c r="R210" s="9" t="n">
        <v>211</v>
      </c>
      <c r="S210" s="19">
        <f>R210/1000</f>
        <v/>
      </c>
      <c r="T210" s="20" t="n">
        <v>46791</v>
      </c>
      <c r="U210" s="20" t="n">
        <v>46811</v>
      </c>
      <c r="V210" s="8" t="n">
        <v>10</v>
      </c>
    </row>
    <row r="211">
      <c r="A211" s="8" t="inlineStr">
        <is>
          <t>A1-A5</t>
        </is>
      </c>
      <c r="B211" s="8" t="inlineStr">
        <is>
          <t>A1 to A5 equipment sections: logistics (shipping, customs, delivery) share</t>
        </is>
      </c>
      <c r="C211" s="8" t="inlineStr">
        <is>
          <t>NQS-P1060</t>
        </is>
      </c>
      <c r="D211" s="8" t="inlineStr">
        <is>
          <t>Shipping and customs clearance - Al Qassim</t>
        </is>
      </c>
      <c r="E211" s="8" t="inlineStr">
        <is>
          <t>PRO.NQS.LOG</t>
        </is>
      </c>
      <c r="F211" s="8" t="inlineStr">
        <is>
          <t>Procurement</t>
        </is>
      </c>
      <c r="G211" s="8" t="inlineStr">
        <is>
          <t>NQS</t>
        </is>
      </c>
      <c r="H211" s="8" t="inlineStr">
        <is>
          <t>MS4</t>
        </is>
      </c>
      <c r="I211" s="16" t="n">
        <v>0.2</v>
      </c>
      <c r="J211" s="10">
        <f>Station_BOQ!R10</f>
        <v/>
      </c>
      <c r="K211" s="9">
        <f>I211*62000000*J211</f>
        <v/>
      </c>
      <c r="L211" s="18" t="n">
        <v>0.15</v>
      </c>
      <c r="M211" s="9">
        <f>ROUND(K211*L211,0)</f>
        <v/>
      </c>
      <c r="N211" s="9" t="n">
        <v>101967</v>
      </c>
      <c r="O211" s="9">
        <f>N211-M211</f>
        <v/>
      </c>
      <c r="P211" s="8" t="inlineStr">
        <is>
          <t>MS4 Material delivery 20% x station price share 5.48% | Fixed key 15% (shipping and customs)</t>
        </is>
      </c>
      <c r="Q211" s="8" t="inlineStr">
        <is>
          <t>Annex 3 equipment sections A1-A5 (logistics share)</t>
        </is>
      </c>
      <c r="R211" s="9" t="n">
        <v>421</v>
      </c>
      <c r="S211" s="19">
        <f>R211/1000</f>
        <v/>
      </c>
      <c r="T211" s="20" t="n">
        <v>46812</v>
      </c>
      <c r="U211" s="20" t="n">
        <v>46841</v>
      </c>
      <c r="V211" s="8" t="n">
        <v>22</v>
      </c>
    </row>
    <row r="212">
      <c r="A212" s="8" t="inlineStr">
        <is>
          <t>SH-SPR</t>
        </is>
      </c>
      <c r="B212" s="8" t="inlineStr">
        <is>
          <t>Commissioning spares (per railway, allocated)</t>
        </is>
      </c>
      <c r="C212" s="8" t="inlineStr">
        <is>
          <t>NQS-P1070</t>
        </is>
      </c>
      <c r="D212" s="8" t="inlineStr">
        <is>
          <t>Delivery to station and receiving inspection - Al Qassim</t>
        </is>
      </c>
      <c r="E212" s="8" t="inlineStr">
        <is>
          <t>PRO.NQS.LOG</t>
        </is>
      </c>
      <c r="F212" s="8" t="inlineStr">
        <is>
          <t>Procurement</t>
        </is>
      </c>
      <c r="G212" s="8" t="inlineStr">
        <is>
          <t>NQS</t>
        </is>
      </c>
      <c r="H212" s="8" t="inlineStr">
        <is>
          <t>MS4</t>
        </is>
      </c>
      <c r="I212" s="16" t="n">
        <v>0.2</v>
      </c>
      <c r="J212" s="10">
        <f>Station_BOQ!R10</f>
        <v/>
      </c>
      <c r="K212" s="9">
        <f>I212*62000000*J212</f>
        <v/>
      </c>
      <c r="L212" s="18" t="n">
        <v>0.05</v>
      </c>
      <c r="M212" s="9">
        <f>ROUND(K212*L212,0)</f>
        <v/>
      </c>
      <c r="N212" s="9" t="n">
        <v>33989</v>
      </c>
      <c r="O212" s="9">
        <f>N212-M212</f>
        <v/>
      </c>
      <c r="P212" s="8" t="inlineStr">
        <is>
          <t>MS4 Material delivery 20% x station price share 5.48% | Fixed key 5% (delivery, receiving) incl. commissioning spares</t>
        </is>
      </c>
      <c r="Q212" s="8" t="inlineStr">
        <is>
          <t>Annex 3 Commissioning spares (railway), allocated by hardware share</t>
        </is>
      </c>
      <c r="R212" s="9" t="n">
        <v>211</v>
      </c>
      <c r="S212" s="19">
        <f>R212/1000</f>
        <v/>
      </c>
      <c r="T212" s="20" t="n">
        <v>46842</v>
      </c>
      <c r="U212" s="20" t="n">
        <v>46848</v>
      </c>
      <c r="V212" s="8" t="n">
        <v>5</v>
      </c>
    </row>
    <row r="213">
      <c r="A213" s="8" t="inlineStr">
        <is>
          <t>A6</t>
        </is>
      </c>
      <c r="B213" s="8" t="inlineStr">
        <is>
          <t>A6 Civil works</t>
        </is>
      </c>
      <c r="C213" s="8" t="inlineStr">
        <is>
          <t>NQS-C1010</t>
        </is>
      </c>
      <c r="D213" s="8" t="inlineStr">
        <is>
          <t>Civil: platform trenches and duct banks - Al Qassim</t>
        </is>
      </c>
      <c r="E213" s="8" t="inlineStr">
        <is>
          <t>CON.NQS.CIV</t>
        </is>
      </c>
      <c r="F213" s="8" t="inlineStr">
        <is>
          <t>Construction</t>
        </is>
      </c>
      <c r="G213" s="8" t="inlineStr">
        <is>
          <t>NQS</t>
        </is>
      </c>
      <c r="H213" s="8" t="inlineStr">
        <is>
          <t>MS5</t>
        </is>
      </c>
      <c r="I213" s="16" t="n">
        <v>0.2</v>
      </c>
      <c r="J213" s="10">
        <f>Station_BOQ!R10</f>
        <v/>
      </c>
      <c r="K213" s="9">
        <f>I213*62000000*J213</f>
        <v/>
      </c>
      <c r="L213" s="18" t="n">
        <v>0.1550490215238962</v>
      </c>
      <c r="M213" s="9">
        <f>ROUND(K213*L213,0)</f>
        <v/>
      </c>
      <c r="N213" s="9" t="n">
        <v>105400</v>
      </c>
      <c r="O213" s="9">
        <f>N213-M213</f>
        <v/>
      </c>
      <c r="P213" s="8" t="inlineStr">
        <is>
          <t>MS5 Installation 20% x station price share 5.48% | BOQ civil share 31.0% x 50% (trenches and duct banks)</t>
        </is>
      </c>
      <c r="Q213" s="8" t="inlineStr">
        <is>
          <t>Annex 3 A6 Civil works (SAR 745,743)</t>
        </is>
      </c>
      <c r="R213" s="9" t="n">
        <v>342</v>
      </c>
      <c r="S213" s="19">
        <f>R213/1000</f>
        <v/>
      </c>
      <c r="T213" s="20" t="n">
        <v>46747</v>
      </c>
      <c r="U213" s="20" t="n">
        <v>46832</v>
      </c>
      <c r="V213" s="8" t="n">
        <v>57</v>
      </c>
    </row>
    <row r="214">
      <c r="A214" s="8" t="inlineStr">
        <is>
          <t>A6</t>
        </is>
      </c>
      <c r="B214" s="8" t="inlineStr">
        <is>
          <t>A6 Civil works</t>
        </is>
      </c>
      <c r="C214" s="8" t="inlineStr">
        <is>
          <t>NQS-C1020</t>
        </is>
      </c>
      <c r="D214" s="8" t="inlineStr">
        <is>
          <t>Civil: camera and ALPR pole foundations and poles - Al Qassim</t>
        </is>
      </c>
      <c r="E214" s="8" t="inlineStr">
        <is>
          <t>CON.NQS.CIV</t>
        </is>
      </c>
      <c r="F214" s="8" t="inlineStr">
        <is>
          <t>Construction</t>
        </is>
      </c>
      <c r="G214" s="8" t="inlineStr">
        <is>
          <t>NQS</t>
        </is>
      </c>
      <c r="H214" s="8" t="inlineStr">
        <is>
          <t>MS5</t>
        </is>
      </c>
      <c r="I214" s="16" t="n">
        <v>0.2</v>
      </c>
      <c r="J214" s="10">
        <f>Station_BOQ!R10</f>
        <v/>
      </c>
      <c r="K214" s="9">
        <f>I214*62000000*J214</f>
        <v/>
      </c>
      <c r="L214" s="18" t="n">
        <v>0.124039217219117</v>
      </c>
      <c r="M214" s="9">
        <f>ROUND(K214*L214,0)</f>
        <v/>
      </c>
      <c r="N214" s="9" t="n">
        <v>84320</v>
      </c>
      <c r="O214" s="9">
        <f>N214-M214</f>
        <v/>
      </c>
      <c r="P214" s="8" t="inlineStr">
        <is>
          <t>MS5 Installation 20% x station price share 5.48% | BOQ civil share 31.0% x 40% (poles)</t>
        </is>
      </c>
      <c r="Q214" s="8" t="inlineStr">
        <is>
          <t>Annex 3 A6 Civil works (SAR 745,743)</t>
        </is>
      </c>
      <c r="R214" s="9" t="n">
        <v>263</v>
      </c>
      <c r="S214" s="19">
        <f>R214/1000</f>
        <v/>
      </c>
      <c r="T214" s="20" t="n">
        <v>46798</v>
      </c>
      <c r="U214" s="20" t="n">
        <v>46867</v>
      </c>
      <c r="V214" s="8" t="n">
        <v>45</v>
      </c>
    </row>
    <row r="215">
      <c r="A215" s="8" t="inlineStr">
        <is>
          <t>A1-A5</t>
        </is>
      </c>
      <c r="B215" s="8" t="inlineStr">
        <is>
          <t>A1 to A5 equipment sections: installation share (works included in unit prices)</t>
        </is>
      </c>
      <c r="C215" s="8" t="inlineStr">
        <is>
          <t>NQS-C2010</t>
        </is>
      </c>
      <c r="D215" s="8" t="inlineStr">
        <is>
          <t>Install UPS, network switches and field cabinets - Al Qassim</t>
        </is>
      </c>
      <c r="E215" s="8" t="inlineStr">
        <is>
          <t>CON.NQS.INS</t>
        </is>
      </c>
      <c r="F215" s="8" t="inlineStr">
        <is>
          <t>Construction</t>
        </is>
      </c>
      <c r="G215" s="8" t="inlineStr">
        <is>
          <t>NQS</t>
        </is>
      </c>
      <c r="H215" s="8" t="inlineStr">
        <is>
          <t>MS5</t>
        </is>
      </c>
      <c r="I215" s="16" t="n">
        <v>0.2</v>
      </c>
      <c r="J215" s="10">
        <f>Station_BOQ!R10</f>
        <v/>
      </c>
      <c r="K215" s="9">
        <f>I215*62000000*J215</f>
        <v/>
      </c>
      <c r="L215" s="18" t="n">
        <v>0.1379803913904415</v>
      </c>
      <c r="M215" s="9">
        <f>ROUND(K215*L215,0)</f>
        <v/>
      </c>
      <c r="N215" s="9" t="n">
        <v>93797</v>
      </c>
      <c r="O215" s="9">
        <f>N215-M215</f>
        <v/>
      </c>
      <c r="P215" s="8" t="inlineStr">
        <is>
          <t>MS5 Installation 20% x station price share 5.48% | Installation key 20% x (1 - civil share 31.0%)</t>
        </is>
      </c>
      <c r="Q215" s="8" t="inlineStr">
        <is>
          <t>Annex 3 equipment sections A1-A5 (installation share)</t>
        </is>
      </c>
      <c r="R215" s="9" t="n">
        <v>158</v>
      </c>
      <c r="S215" s="19">
        <f>R215/1000</f>
        <v/>
      </c>
      <c r="T215" s="20" t="n">
        <v>46849</v>
      </c>
      <c r="U215" s="20" t="n">
        <v>46867</v>
      </c>
      <c r="V215" s="8" t="n">
        <v>13</v>
      </c>
    </row>
    <row r="216">
      <c r="A216" s="8" t="inlineStr">
        <is>
          <t>A1-A5</t>
        </is>
      </c>
      <c r="B216" s="8" t="inlineStr">
        <is>
          <t>A1 to A5 equipment sections: installation share (works included in unit prices)</t>
        </is>
      </c>
      <c r="C216" s="8" t="inlineStr">
        <is>
          <t>NQS-C2020</t>
        </is>
      </c>
      <c r="D216" s="8" t="inlineStr">
        <is>
          <t>Cabling and termination (power, fibre, data) - Al Qassim</t>
        </is>
      </c>
      <c r="E216" s="8" t="inlineStr">
        <is>
          <t>CON.NQS.INS</t>
        </is>
      </c>
      <c r="F216" s="8" t="inlineStr">
        <is>
          <t>Construction</t>
        </is>
      </c>
      <c r="G216" s="8" t="inlineStr">
        <is>
          <t>NQS</t>
        </is>
      </c>
      <c r="H216" s="8" t="inlineStr">
        <is>
          <t>MS5</t>
        </is>
      </c>
      <c r="I216" s="16" t="n">
        <v>0.2</v>
      </c>
      <c r="J216" s="10">
        <f>Station_BOQ!R10</f>
        <v/>
      </c>
      <c r="K216" s="9">
        <f>I216*62000000*J216</f>
        <v/>
      </c>
      <c r="L216" s="18" t="n">
        <v>0.2069705870856623</v>
      </c>
      <c r="M216" s="9">
        <f>ROUND(K216*L216,0)</f>
        <v/>
      </c>
      <c r="N216" s="9" t="n">
        <v>140695</v>
      </c>
      <c r="O216" s="9">
        <f>N216-M216</f>
        <v/>
      </c>
      <c r="P216" s="8" t="inlineStr">
        <is>
          <t>MS5 Installation 20% x station price share 5.48% | Installation key 30% x (1 - civil share 31.0%)</t>
        </is>
      </c>
      <c r="Q216" s="8" t="inlineStr">
        <is>
          <t>Annex 3 equipment sections A1-A5 (installation share)</t>
        </is>
      </c>
      <c r="R216" s="9" t="n">
        <v>316</v>
      </c>
      <c r="S216" s="19">
        <f>R216/1000</f>
        <v/>
      </c>
      <c r="T216" s="20" t="n">
        <v>46855</v>
      </c>
      <c r="U216" s="20" t="n">
        <v>46891</v>
      </c>
      <c r="V216" s="8" t="n">
        <v>22</v>
      </c>
    </row>
    <row r="217">
      <c r="A217" s="8" t="inlineStr">
        <is>
          <t>A1-A5</t>
        </is>
      </c>
      <c r="B217" s="8" t="inlineStr">
        <is>
          <t>A1 to A5 equipment sections: installation share (works included in unit prices)</t>
        </is>
      </c>
      <c r="C217" s="8" t="inlineStr">
        <is>
          <t>NQS-C2030</t>
        </is>
      </c>
      <c r="D217" s="8" t="inlineStr">
        <is>
          <t>Install and aim CCTV cameras - Al Qassim</t>
        </is>
      </c>
      <c r="E217" s="8" t="inlineStr">
        <is>
          <t>CON.NQS.INS</t>
        </is>
      </c>
      <c r="F217" s="8" t="inlineStr">
        <is>
          <t>Construction</t>
        </is>
      </c>
      <c r="G217" s="8" t="inlineStr">
        <is>
          <t>NQS</t>
        </is>
      </c>
      <c r="H217" s="8" t="inlineStr">
        <is>
          <t>MS5</t>
        </is>
      </c>
      <c r="I217" s="16" t="n">
        <v>0.2</v>
      </c>
      <c r="J217" s="10">
        <f>Station_BOQ!R10</f>
        <v/>
      </c>
      <c r="K217" s="9">
        <f>I217*62000000*J217</f>
        <v/>
      </c>
      <c r="L217" s="18" t="n">
        <v>0.1724754892380519</v>
      </c>
      <c r="M217" s="9">
        <f>ROUND(K217*L217,0)</f>
        <v/>
      </c>
      <c r="N217" s="9" t="n">
        <v>117246</v>
      </c>
      <c r="O217" s="9">
        <f>N217-M217</f>
        <v/>
      </c>
      <c r="P217" s="8" t="inlineStr">
        <is>
          <t>MS5 Installation 20% x station price share 5.48% | Installation key 25% x (1 - civil share 31.0%)</t>
        </is>
      </c>
      <c r="Q217" s="8" t="inlineStr">
        <is>
          <t>Annex 3 equipment sections A1-A5 (installation share)</t>
        </is>
      </c>
      <c r="R217" s="9" t="n">
        <v>263</v>
      </c>
      <c r="S217" s="19">
        <f>R217/1000</f>
        <v/>
      </c>
      <c r="T217" s="20" t="n">
        <v>46894</v>
      </c>
      <c r="U217" s="20" t="n">
        <v>46917</v>
      </c>
      <c r="V217" s="8" t="n">
        <v>18</v>
      </c>
    </row>
    <row r="218">
      <c r="A218" s="8" t="inlineStr">
        <is>
          <t>A1-A5</t>
        </is>
      </c>
      <c r="B218" s="8" t="inlineStr">
        <is>
          <t>A1 to A5 equipment sections: installation share (works included in unit prices)</t>
        </is>
      </c>
      <c r="C218" s="8" t="inlineStr">
        <is>
          <t>NQS-C2040</t>
        </is>
      </c>
      <c r="D218" s="8" t="inlineStr">
        <is>
          <t>Install video management, video wall and control-room equipment - Al Qassim</t>
        </is>
      </c>
      <c r="E218" s="8" t="inlineStr">
        <is>
          <t>CON.NQS.INS</t>
        </is>
      </c>
      <c r="F218" s="8" t="inlineStr">
        <is>
          <t>Construction</t>
        </is>
      </c>
      <c r="G218" s="8" t="inlineStr">
        <is>
          <t>NQS</t>
        </is>
      </c>
      <c r="H218" s="8" t="inlineStr">
        <is>
          <t>MS5</t>
        </is>
      </c>
      <c r="I218" s="16" t="n">
        <v>0.2</v>
      </c>
      <c r="J218" s="10">
        <f>Station_BOQ!R10</f>
        <v/>
      </c>
      <c r="K218" s="9">
        <f>I218*62000000*J218</f>
        <v/>
      </c>
      <c r="L218" s="18" t="n">
        <v>0.1034852935428311</v>
      </c>
      <c r="M218" s="9">
        <f>ROUND(K218*L218,0)</f>
        <v/>
      </c>
      <c r="N218" s="9" t="n">
        <v>70348</v>
      </c>
      <c r="O218" s="9">
        <f>N218-M218</f>
        <v/>
      </c>
      <c r="P218" s="8" t="inlineStr">
        <is>
          <t>MS5 Installation 20% x station price share 5.48% | Installation key 15% x (1 - civil share 31.0%)</t>
        </is>
      </c>
      <c r="Q218" s="8" t="inlineStr">
        <is>
          <t>Annex 3 equipment sections A1-A5 (installation share)</t>
        </is>
      </c>
      <c r="R218" s="9" t="n">
        <v>158</v>
      </c>
      <c r="S218" s="19">
        <f>R218/1000</f>
        <v/>
      </c>
      <c r="T218" s="20" t="n">
        <v>46868</v>
      </c>
      <c r="U218" s="20" t="n">
        <v>46895</v>
      </c>
      <c r="V218" s="8" t="n">
        <v>15</v>
      </c>
    </row>
    <row r="219">
      <c r="A219" s="8" t="inlineStr">
        <is>
          <t>A1-A5</t>
        </is>
      </c>
      <c r="B219" s="8" t="inlineStr">
        <is>
          <t>A1 to A5 equipment sections: installation share (works included in unit prices)</t>
        </is>
      </c>
      <c r="C219" s="8" t="inlineStr">
        <is>
          <t>NQS-C2050</t>
        </is>
      </c>
      <c r="D219" s="8" t="inlineStr">
        <is>
          <t>Install access control and intercom - Al Qassim</t>
        </is>
      </c>
      <c r="E219" s="8" t="inlineStr">
        <is>
          <t>CON.NQS.INS</t>
        </is>
      </c>
      <c r="F219" s="8" t="inlineStr">
        <is>
          <t>Construction</t>
        </is>
      </c>
      <c r="G219" s="8" t="inlineStr">
        <is>
          <t>NQS</t>
        </is>
      </c>
      <c r="H219" s="8" t="inlineStr">
        <is>
          <t>MS5</t>
        </is>
      </c>
      <c r="I219" s="16" t="n">
        <v>0.2</v>
      </c>
      <c r="J219" s="10">
        <f>Station_BOQ!R10</f>
        <v/>
      </c>
      <c r="K219" s="9">
        <f>I219*62000000*J219</f>
        <v/>
      </c>
      <c r="L219" s="18" t="n">
        <v>0.06899019569522076</v>
      </c>
      <c r="M219" s="9">
        <f>ROUND(K219*L219,0)</f>
        <v/>
      </c>
      <c r="N219" s="9" t="n">
        <v>46898</v>
      </c>
      <c r="O219" s="9">
        <f>N219-M219</f>
        <v/>
      </c>
      <c r="P219" s="8" t="inlineStr">
        <is>
          <t>MS5 Installation 20% x station price share 5.48% | Installation key 10% x (1 - civil share 31.0%)</t>
        </is>
      </c>
      <c r="Q219" s="8" t="inlineStr">
        <is>
          <t>Annex 3 equipment sections A1-A5 (installation share)</t>
        </is>
      </c>
      <c r="R219" s="9" t="n">
        <v>105</v>
      </c>
      <c r="S219" s="19">
        <f>R219/1000</f>
        <v/>
      </c>
      <c r="T219" s="20" t="n">
        <v>46881</v>
      </c>
      <c r="U219" s="20" t="n">
        <v>46897</v>
      </c>
      <c r="V219" s="8" t="n">
        <v>13</v>
      </c>
    </row>
    <row r="220">
      <c r="A220" s="8" t="inlineStr">
        <is>
          <t>A1-A5</t>
        </is>
      </c>
      <c r="B220" s="8" t="inlineStr">
        <is>
          <t>A1 to A5 equipment sections: testing and commissioning share</t>
        </is>
      </c>
      <c r="C220" s="8" t="inlineStr">
        <is>
          <t>NQS-T1010</t>
        </is>
      </c>
      <c r="D220" s="8" t="inlineStr">
        <is>
          <t>Pre-commissioning and loop checks - Al Qassim</t>
        </is>
      </c>
      <c r="E220" s="8" t="inlineStr">
        <is>
          <t>COM.NQS.TST</t>
        </is>
      </c>
      <c r="F220" s="8" t="inlineStr">
        <is>
          <t>Commissioning and handover</t>
        </is>
      </c>
      <c r="G220" s="8" t="inlineStr">
        <is>
          <t>NQS</t>
        </is>
      </c>
      <c r="H220" s="8" t="inlineStr">
        <is>
          <t>MS6</t>
        </is>
      </c>
      <c r="I220" s="16" t="n">
        <v>0.1</v>
      </c>
      <c r="J220" s="10">
        <f>Station_BOQ!R10</f>
        <v/>
      </c>
      <c r="K220" s="9">
        <f>I220*62000000*J220</f>
        <v/>
      </c>
      <c r="L220" s="18" t="n">
        <v>0.4</v>
      </c>
      <c r="M220" s="9">
        <f>ROUND(K220*L220,0)</f>
        <v/>
      </c>
      <c r="N220" s="9" t="n">
        <v>135957</v>
      </c>
      <c r="O220" s="9">
        <f>N220-M220</f>
        <v/>
      </c>
      <c r="P220" s="8" t="inlineStr">
        <is>
          <t>MS6 Testing and commissioning (SAT) 10% x station price share 5.48% | Fixed key 40% of SAT milestone</t>
        </is>
      </c>
      <c r="Q220" s="8" t="inlineStr">
        <is>
          <t>Annex 3 equipment sections A1-A5 (testing share)</t>
        </is>
      </c>
      <c r="R220" s="9" t="n">
        <v>158</v>
      </c>
      <c r="S220" s="19">
        <f>R220/1000</f>
        <v/>
      </c>
      <c r="T220" s="20" t="n">
        <v>46918</v>
      </c>
      <c r="U220" s="20" t="n">
        <v>46924</v>
      </c>
      <c r="V220" s="8" t="n">
        <v>5</v>
      </c>
    </row>
    <row r="221">
      <c r="A221" s="8" t="inlineStr">
        <is>
          <t>A1-A5</t>
        </is>
      </c>
      <c r="B221" s="8" t="inlineStr">
        <is>
          <t>A1 to A5 equipment sections: testing and commissioning share</t>
        </is>
      </c>
      <c r="C221" s="8" t="inlineStr">
        <is>
          <t>NQS-T1020</t>
        </is>
      </c>
      <c r="D221" s="8" t="inlineStr">
        <is>
          <t>Site acceptance test (SAT) and commissioning - Al Qassim</t>
        </is>
      </c>
      <c r="E221" s="8" t="inlineStr">
        <is>
          <t>COM.NQS.TST</t>
        </is>
      </c>
      <c r="F221" s="8" t="inlineStr">
        <is>
          <t>Commissioning and handover</t>
        </is>
      </c>
      <c r="G221" s="8" t="inlineStr">
        <is>
          <t>NQS</t>
        </is>
      </c>
      <c r="H221" s="8" t="inlineStr">
        <is>
          <t>MS6</t>
        </is>
      </c>
      <c r="I221" s="16" t="n">
        <v>0.1</v>
      </c>
      <c r="J221" s="10">
        <f>Station_BOQ!R10</f>
        <v/>
      </c>
      <c r="K221" s="9">
        <f>I221*62000000*J221</f>
        <v/>
      </c>
      <c r="L221" s="18" t="n">
        <v>0.6</v>
      </c>
      <c r="M221" s="9">
        <f>ROUND(K221*L221,0)</f>
        <v/>
      </c>
      <c r="N221" s="9" t="n">
        <v>203935</v>
      </c>
      <c r="O221" s="9">
        <f>N221-M221</f>
        <v/>
      </c>
      <c r="P221" s="8" t="inlineStr">
        <is>
          <t>MS6 Testing and commissioning (SAT) 10% x station price share 5.48% | Fixed key 60% of SAT milestone</t>
        </is>
      </c>
      <c r="Q221" s="8" t="inlineStr">
        <is>
          <t>Annex 3 equipment sections A1-A5 (testing share)</t>
        </is>
      </c>
      <c r="R221" s="9" t="n">
        <v>211</v>
      </c>
      <c r="S221" s="19">
        <f>R221/1000</f>
        <v/>
      </c>
      <c r="T221" s="20" t="n">
        <v>46925</v>
      </c>
      <c r="U221" s="20" t="n">
        <v>46936</v>
      </c>
      <c r="V221" s="8" t="n">
        <v>8</v>
      </c>
    </row>
    <row r="222">
      <c r="A222" s="8" t="inlineStr">
        <is>
          <t>SH-TRN</t>
        </is>
      </c>
      <c r="B222" s="8" t="inlineStr">
        <is>
          <t>Training (per railway, allocated)</t>
        </is>
      </c>
      <c r="C222" s="8" t="inlineStr">
        <is>
          <t>NQS-T2010</t>
        </is>
      </c>
      <c r="D222" s="8" t="inlineStr">
        <is>
          <t>Operator and maintenance training - Al Qassim</t>
        </is>
      </c>
      <c r="E222" s="8" t="inlineStr">
        <is>
          <t>COM.NQS.TRN</t>
        </is>
      </c>
      <c r="F222" s="8" t="inlineStr">
        <is>
          <t>Commissioning and handover</t>
        </is>
      </c>
      <c r="G222" s="8" t="inlineStr">
        <is>
          <t>NQS</t>
        </is>
      </c>
      <c r="H222" s="8" t="inlineStr">
        <is>
          <t>MS7</t>
        </is>
      </c>
      <c r="I222" s="16" t="n">
        <v>0.1</v>
      </c>
      <c r="J222" s="10">
        <f>Station_BOQ!R10</f>
        <v/>
      </c>
      <c r="K222" s="9">
        <f>I222*62000000*J222</f>
        <v/>
      </c>
      <c r="L222" s="18" t="n">
        <v>0.15</v>
      </c>
      <c r="M222" s="9">
        <f>ROUND(K222*L222,0)</f>
        <v/>
      </c>
      <c r="N222" s="9" t="n">
        <v>50984</v>
      </c>
      <c r="O222" s="9">
        <f>N222-M222</f>
        <v/>
      </c>
      <c r="P222" s="8" t="inlineStr">
        <is>
          <t>MS7 Final acceptance and handover 10% x station price share 5.48% | Fixed key 15%</t>
        </is>
      </c>
      <c r="Q222" s="8" t="inlineStr">
        <is>
          <t>Annex 3 Training (railway), allocated by hardware share</t>
        </is>
      </c>
      <c r="R222" s="9" t="n">
        <v>105</v>
      </c>
      <c r="S222" s="19">
        <f>R222/1000</f>
        <v/>
      </c>
      <c r="T222" s="20" t="n">
        <v>46937</v>
      </c>
      <c r="U222" s="20" t="n">
        <v>46950</v>
      </c>
      <c r="V222" s="8" t="n">
        <v>10</v>
      </c>
    </row>
    <row r="223">
      <c r="A223" s="8" t="inlineStr">
        <is>
          <t>A1-A5</t>
        </is>
      </c>
      <c r="B223" s="8" t="inlineStr">
        <is>
          <t>A1 to A5 equipment sections: trial operation share</t>
        </is>
      </c>
      <c r="C223" s="8" t="inlineStr">
        <is>
          <t>NQS-T2020</t>
        </is>
      </c>
      <c r="D223" s="8" t="inlineStr">
        <is>
          <t>Trial operation (maximum 45 days) - Al Qassim</t>
        </is>
      </c>
      <c r="E223" s="8" t="inlineStr">
        <is>
          <t>COM.NQS.TOA</t>
        </is>
      </c>
      <c r="F223" s="8" t="inlineStr">
        <is>
          <t>Commissioning and handover</t>
        </is>
      </c>
      <c r="G223" s="8" t="inlineStr">
        <is>
          <t>NQS</t>
        </is>
      </c>
      <c r="H223" s="8" t="inlineStr">
        <is>
          <t>MS7</t>
        </is>
      </c>
      <c r="I223" s="16" t="n">
        <v>0.1</v>
      </c>
      <c r="J223" s="10">
        <f>Station_BOQ!R10</f>
        <v/>
      </c>
      <c r="K223" s="9">
        <f>I223*62000000*J223</f>
        <v/>
      </c>
      <c r="L223" s="18" t="n">
        <v>0.35</v>
      </c>
      <c r="M223" s="9">
        <f>ROUND(K223*L223,0)</f>
        <v/>
      </c>
      <c r="N223" s="9" t="n">
        <v>118962</v>
      </c>
      <c r="O223" s="9">
        <f>N223-M223</f>
        <v/>
      </c>
      <c r="P223" s="8" t="inlineStr">
        <is>
          <t>MS7 Final acceptance and handover 10% x station price share 5.48% | Fixed key 35%</t>
        </is>
      </c>
      <c r="Q223" s="8" t="inlineStr">
        <is>
          <t>Annex 3 equipment sections A1-A5 (trial operation share)</t>
        </is>
      </c>
      <c r="R223" s="9" t="n">
        <v>158</v>
      </c>
      <c r="S223" s="19">
        <f>R223/1000</f>
        <v/>
      </c>
      <c r="T223" s="20" t="n">
        <v>46937</v>
      </c>
      <c r="U223" s="20" t="n">
        <v>46978</v>
      </c>
      <c r="V223" s="8" t="n">
        <v>30</v>
      </c>
    </row>
    <row r="224">
      <c r="A224" s="8" t="inlineStr">
        <is>
          <t>A1-A5</t>
        </is>
      </c>
      <c r="B224" s="8" t="inlineStr">
        <is>
          <t>A1 to A5 equipment sections: handover share</t>
        </is>
      </c>
      <c r="C224" s="8" t="inlineStr">
        <is>
          <t>NQS-T3010</t>
        </is>
      </c>
      <c r="D224" s="8" t="inlineStr">
        <is>
          <t>Taking-over application, SAR review and handover - Al Qassim</t>
        </is>
      </c>
      <c r="E224" s="8" t="inlineStr">
        <is>
          <t>COM.NQS.TOA</t>
        </is>
      </c>
      <c r="F224" s="8" t="inlineStr">
        <is>
          <t>Commissioning and handover</t>
        </is>
      </c>
      <c r="G224" s="8" t="inlineStr">
        <is>
          <t>NQS</t>
        </is>
      </c>
      <c r="H224" s="8" t="inlineStr">
        <is>
          <t>MS7</t>
        </is>
      </c>
      <c r="I224" s="16" t="n">
        <v>0.1</v>
      </c>
      <c r="J224" s="10">
        <f>Station_BOQ!R10</f>
        <v/>
      </c>
      <c r="K224" s="9">
        <f>I224*62000000*J224</f>
        <v/>
      </c>
      <c r="L224" s="18" t="n">
        <v>0.3</v>
      </c>
      <c r="M224" s="9">
        <f>ROUND(K224*L224,0)</f>
        <v/>
      </c>
      <c r="N224" s="9" t="n">
        <v>101967</v>
      </c>
      <c r="O224" s="9">
        <f>N224-M224</f>
        <v/>
      </c>
      <c r="P224" s="8" t="inlineStr">
        <is>
          <t>MS7 Final acceptance and handover 10% x station price share 5.48% | Fixed key 30%</t>
        </is>
      </c>
      <c r="Q224" s="8" t="inlineStr">
        <is>
          <t>Annex 3 equipment sections A1-A5 (handover share)</t>
        </is>
      </c>
      <c r="R224" s="9" t="n">
        <v>158</v>
      </c>
      <c r="S224" s="19">
        <f>R224/1000</f>
        <v/>
      </c>
      <c r="T224" s="20" t="n">
        <v>46979</v>
      </c>
      <c r="U224" s="20" t="n">
        <v>47008</v>
      </c>
      <c r="V224" s="8" t="n">
        <v>22</v>
      </c>
    </row>
    <row r="225">
      <c r="A225" s="8" t="inlineStr">
        <is>
          <t>SH-DES</t>
        </is>
      </c>
      <c r="B225" s="8" t="inlineStr">
        <is>
          <t>Design and engineering package (per railway, allocated to the station)</t>
        </is>
      </c>
      <c r="C225" s="8" t="inlineStr">
        <is>
          <t>EHF-E1010</t>
        </is>
      </c>
      <c r="D225" s="8" t="inlineStr">
        <is>
          <t>Survey: submittal of site survey and as-found report - Hufuf</t>
        </is>
      </c>
      <c r="E225" s="8" t="inlineStr">
        <is>
          <t>ENG.EHF.SRV.SUB</t>
        </is>
      </c>
      <c r="F225" s="8" t="inlineStr">
        <is>
          <t>Engineering</t>
        </is>
      </c>
      <c r="G225" s="8" t="inlineStr">
        <is>
          <t>EHF</t>
        </is>
      </c>
      <c r="H225" s="8" t="inlineStr">
        <is>
          <t>MS2</t>
        </is>
      </c>
      <c r="I225" s="16" t="n">
        <v>0.1</v>
      </c>
      <c r="J225" s="10">
        <f>Station_BOQ!R11</f>
        <v/>
      </c>
      <c r="K225" s="9">
        <f>I225*62000000*J225</f>
        <v/>
      </c>
      <c r="L225" s="18" t="n">
        <v>0.06900000000000001</v>
      </c>
      <c r="M225" s="9">
        <f>ROUND(K225*L225,0)</f>
        <v/>
      </c>
      <c r="N225" s="9" t="n">
        <v>19517</v>
      </c>
      <c r="O225" s="9">
        <f>N225-M225</f>
        <v/>
      </c>
      <c r="P225" s="8" t="inlineStr">
        <is>
          <t>MS2 Engineering submittal 10% x station price share 4.56% | Design stage key 6.9% of the engineering-submittal milestone</t>
        </is>
      </c>
      <c r="Q225" s="8" t="inlineStr">
        <is>
          <t>Annex 3 Design and engineering package (railway) allocated by station hardware share</t>
        </is>
      </c>
      <c r="R225" s="9" t="n">
        <v>25</v>
      </c>
      <c r="S225" s="19">
        <f>R225/1000</f>
        <v/>
      </c>
      <c r="T225" s="20" t="n">
        <v>46603</v>
      </c>
      <c r="U225" s="20" t="n">
        <v>46614</v>
      </c>
      <c r="V225" s="8" t="n">
        <v>8</v>
      </c>
    </row>
    <row r="226">
      <c r="A226" s="8" t="inlineStr">
        <is>
          <t>SH-DES</t>
        </is>
      </c>
      <c r="B226" s="8" t="inlineStr">
        <is>
          <t>Design and engineering package (per railway, allocated to the station)</t>
        </is>
      </c>
      <c r="C226" s="8" t="inlineStr">
        <is>
          <t>EHF-E1020</t>
        </is>
      </c>
      <c r="D226" s="8" t="inlineStr">
        <is>
          <t>Survey: SAR approval of survey report - Hufuf</t>
        </is>
      </c>
      <c r="E226" s="8" t="inlineStr">
        <is>
          <t>ENG.EHF.SRV.APR</t>
        </is>
      </c>
      <c r="F226" s="8" t="inlineStr">
        <is>
          <t>Engineering</t>
        </is>
      </c>
      <c r="G226" s="8" t="inlineStr">
        <is>
          <t>EHF</t>
        </is>
      </c>
      <c r="H226" s="8" t="inlineStr">
        <is>
          <t>MS3</t>
        </is>
      </c>
      <c r="I226" s="16" t="n">
        <v>0.1</v>
      </c>
      <c r="J226" s="10">
        <f>Station_BOQ!R11</f>
        <v/>
      </c>
      <c r="K226" s="9">
        <f>I226*62000000*J226</f>
        <v/>
      </c>
      <c r="L226" s="18" t="n">
        <v>0.05</v>
      </c>
      <c r="M226" s="9">
        <f>ROUND(K226*L226,0)</f>
        <v/>
      </c>
      <c r="N226" s="9" t="n">
        <v>14143</v>
      </c>
      <c r="O226" s="9">
        <f>N226-M226</f>
        <v/>
      </c>
      <c r="P226" s="8" t="inlineStr">
        <is>
          <t>MS3 SAR approval of engineering 10% x station price share 4.56% | Design stage key 5.0% of the SAR-approval milestone</t>
        </is>
      </c>
      <c r="Q226" s="8" t="inlineStr">
        <is>
          <t>Annex 3 Design and engineering package (railway) allocated by station hardware share</t>
        </is>
      </c>
      <c r="R226" s="9" t="n">
        <v>27</v>
      </c>
      <c r="S226" s="19">
        <f>R226/1000</f>
        <v/>
      </c>
      <c r="T226" s="20" t="n">
        <v>46615</v>
      </c>
      <c r="U226" s="20" t="n">
        <v>46635</v>
      </c>
      <c r="V226" s="8" t="n">
        <v>15</v>
      </c>
    </row>
    <row r="227">
      <c r="A227" s="8" t="inlineStr">
        <is>
          <t>SH-DES</t>
        </is>
      </c>
      <c r="B227" s="8" t="inlineStr">
        <is>
          <t>Design and engineering package (per railway, allocated to the station)</t>
        </is>
      </c>
      <c r="C227" s="8" t="inlineStr">
        <is>
          <t>EHF-E1030</t>
        </is>
      </c>
      <c r="D227" s="8" t="inlineStr">
        <is>
          <t>Concept design: submittal - Hufuf</t>
        </is>
      </c>
      <c r="E227" s="8" t="inlineStr">
        <is>
          <t>ENG.EHF.CNC.SUB</t>
        </is>
      </c>
      <c r="F227" s="8" t="inlineStr">
        <is>
          <t>Engineering</t>
        </is>
      </c>
      <c r="G227" s="8" t="inlineStr">
        <is>
          <t>EHF</t>
        </is>
      </c>
      <c r="H227" s="8" t="inlineStr">
        <is>
          <t>MS2</t>
        </is>
      </c>
      <c r="I227" s="16" t="n">
        <v>0.1</v>
      </c>
      <c r="J227" s="10">
        <f>Station_BOQ!R11</f>
        <v/>
      </c>
      <c r="K227" s="9">
        <f>I227*62000000*J227</f>
        <v/>
      </c>
      <c r="L227" s="18" t="n">
        <v>0.098</v>
      </c>
      <c r="M227" s="9">
        <f>ROUND(K227*L227,0)</f>
        <v/>
      </c>
      <c r="N227" s="9" t="n">
        <v>27719</v>
      </c>
      <c r="O227" s="9">
        <f>N227-M227</f>
        <v/>
      </c>
      <c r="P227" s="8" t="inlineStr">
        <is>
          <t>MS2 Engineering submittal 10% x station price share 4.56% | Design stage key 9.8% of the engineering-submittal milestone</t>
        </is>
      </c>
      <c r="Q227" s="8" t="inlineStr">
        <is>
          <t>Annex 3 Design and engineering package (railway) allocated by station hardware share</t>
        </is>
      </c>
      <c r="R227" s="9" t="n">
        <v>19</v>
      </c>
      <c r="S227" s="19">
        <f>R227/1000</f>
        <v/>
      </c>
      <c r="T227" s="20" t="n">
        <v>46615</v>
      </c>
      <c r="U227" s="20" t="n">
        <v>46625</v>
      </c>
      <c r="V227" s="8" t="n">
        <v>9</v>
      </c>
    </row>
    <row r="228">
      <c r="A228" s="8" t="inlineStr">
        <is>
          <t>SH-DES</t>
        </is>
      </c>
      <c r="B228" s="8" t="inlineStr">
        <is>
          <t>Design and engineering package (per railway, allocated to the station)</t>
        </is>
      </c>
      <c r="C228" s="8" t="inlineStr">
        <is>
          <t>EHF-E1040</t>
        </is>
      </c>
      <c r="D228" s="8" t="inlineStr">
        <is>
          <t>Concept design: SAR review and approval - Hufuf</t>
        </is>
      </c>
      <c r="E228" s="8" t="inlineStr">
        <is>
          <t>ENG.EHF.CNC.APR</t>
        </is>
      </c>
      <c r="F228" s="8" t="inlineStr">
        <is>
          <t>Engineering</t>
        </is>
      </c>
      <c r="G228" s="8" t="inlineStr">
        <is>
          <t>EHF</t>
        </is>
      </c>
      <c r="H228" s="8" t="inlineStr">
        <is>
          <t>MS3</t>
        </is>
      </c>
      <c r="I228" s="16" t="n">
        <v>0.1</v>
      </c>
      <c r="J228" s="10">
        <f>Station_BOQ!R11</f>
        <v/>
      </c>
      <c r="K228" s="9">
        <f>I228*62000000*J228</f>
        <v/>
      </c>
      <c r="L228" s="18" t="n">
        <v>0.1</v>
      </c>
      <c r="M228" s="9">
        <f>ROUND(K228*L228,0)</f>
        <v/>
      </c>
      <c r="N228" s="9" t="n">
        <v>28285</v>
      </c>
      <c r="O228" s="9">
        <f>N228-M228</f>
        <v/>
      </c>
      <c r="P228" s="8" t="inlineStr">
        <is>
          <t>MS3 SAR approval of engineering 10% x station price share 4.56% | Design stage key 10.0% of the SAR-approval milestone</t>
        </is>
      </c>
      <c r="Q228" s="8" t="inlineStr">
        <is>
          <t>Annex 3 Design and engineering package (railway) allocated by station hardware share</t>
        </is>
      </c>
      <c r="R228" s="9" t="n">
        <v>32</v>
      </c>
      <c r="S228" s="19">
        <f>R228/1000</f>
        <v/>
      </c>
      <c r="T228" s="20" t="n">
        <v>46628</v>
      </c>
      <c r="U228" s="20" t="n">
        <v>46646</v>
      </c>
      <c r="V228" s="8" t="n">
        <v>15</v>
      </c>
    </row>
    <row r="229">
      <c r="A229" s="8" t="inlineStr">
        <is>
          <t>SH-DES</t>
        </is>
      </c>
      <c r="B229" s="8" t="inlineStr">
        <is>
          <t>Design and engineering package (per railway, allocated to the station)</t>
        </is>
      </c>
      <c r="C229" s="8" t="inlineStr">
        <is>
          <t>EHF-E1050</t>
        </is>
      </c>
      <c r="D229" s="8" t="inlineStr">
        <is>
          <t>Preliminary design: submittal - Hufuf</t>
        </is>
      </c>
      <c r="E229" s="8" t="inlineStr">
        <is>
          <t>ENG.EHF.PRE.SUB</t>
        </is>
      </c>
      <c r="F229" s="8" t="inlineStr">
        <is>
          <t>Engineering</t>
        </is>
      </c>
      <c r="G229" s="8" t="inlineStr">
        <is>
          <t>EHF</t>
        </is>
      </c>
      <c r="H229" s="8" t="inlineStr">
        <is>
          <t>MS2</t>
        </is>
      </c>
      <c r="I229" s="16" t="n">
        <v>0.1</v>
      </c>
      <c r="J229" s="10">
        <f>Station_BOQ!R11</f>
        <v/>
      </c>
      <c r="K229" s="9">
        <f>I229*62000000*J229</f>
        <v/>
      </c>
      <c r="L229" s="18" t="n">
        <v>0.196</v>
      </c>
      <c r="M229" s="9">
        <f>ROUND(K229*L229,0)</f>
        <v/>
      </c>
      <c r="N229" s="9" t="n">
        <v>55439</v>
      </c>
      <c r="O229" s="9">
        <f>N229-M229</f>
        <v/>
      </c>
      <c r="P229" s="8" t="inlineStr">
        <is>
          <t>MS2 Engineering submittal 10% x station price share 4.56% | Design stage key 19.6% of the engineering-submittal milestone</t>
        </is>
      </c>
      <c r="Q229" s="8" t="inlineStr">
        <is>
          <t>Annex 3 Design and engineering package (railway) allocated by station hardware share</t>
        </is>
      </c>
      <c r="R229" s="9" t="n">
        <v>48</v>
      </c>
      <c r="S229" s="19">
        <f>R229/1000</f>
        <v/>
      </c>
      <c r="T229" s="20" t="n">
        <v>46628</v>
      </c>
      <c r="U229" s="20" t="n">
        <v>46649</v>
      </c>
      <c r="V229" s="8" t="n">
        <v>16</v>
      </c>
    </row>
    <row r="230">
      <c r="A230" s="8" t="inlineStr">
        <is>
          <t>SH-DES</t>
        </is>
      </c>
      <c r="B230" s="8" t="inlineStr">
        <is>
          <t>Design and engineering package (per railway, allocated to the station)</t>
        </is>
      </c>
      <c r="C230" s="8" t="inlineStr">
        <is>
          <t>EHF-E1060</t>
        </is>
      </c>
      <c r="D230" s="8" t="inlineStr">
        <is>
          <t>Preliminary design: SAR review and approval - Hufuf</t>
        </is>
      </c>
      <c r="E230" s="8" t="inlineStr">
        <is>
          <t>ENG.EHF.PRE.APR</t>
        </is>
      </c>
      <c r="F230" s="8" t="inlineStr">
        <is>
          <t>Engineering</t>
        </is>
      </c>
      <c r="G230" s="8" t="inlineStr">
        <is>
          <t>EHF</t>
        </is>
      </c>
      <c r="H230" s="8" t="inlineStr">
        <is>
          <t>MS3</t>
        </is>
      </c>
      <c r="I230" s="16" t="n">
        <v>0.1</v>
      </c>
      <c r="J230" s="10">
        <f>Station_BOQ!R11</f>
        <v/>
      </c>
      <c r="K230" s="9">
        <f>I230*62000000*J230</f>
        <v/>
      </c>
      <c r="L230" s="18" t="n">
        <v>0.2</v>
      </c>
      <c r="M230" s="9">
        <f>ROUND(K230*L230,0)</f>
        <v/>
      </c>
      <c r="N230" s="9" t="n">
        <v>56570</v>
      </c>
      <c r="O230" s="9">
        <f>N230-M230</f>
        <v/>
      </c>
      <c r="P230" s="8" t="inlineStr">
        <is>
          <t>MS3 SAR approval of engineering 10% x station price share 4.56% | Design stage key 20.0% of the SAR-approval milestone</t>
        </is>
      </c>
      <c r="Q230" s="8" t="inlineStr">
        <is>
          <t>Annex 3 Design and engineering package (railway) allocated by station hardware share</t>
        </is>
      </c>
      <c r="R230" s="9" t="n">
        <v>45</v>
      </c>
      <c r="S230" s="19">
        <f>R230/1000</f>
        <v/>
      </c>
      <c r="T230" s="20" t="n">
        <v>46650</v>
      </c>
      <c r="U230" s="20" t="n">
        <v>46671</v>
      </c>
      <c r="V230" s="8" t="n">
        <v>15</v>
      </c>
    </row>
    <row r="231">
      <c r="A231" s="8" t="inlineStr">
        <is>
          <t>SH-DES</t>
        </is>
      </c>
      <c r="B231" s="8" t="inlineStr">
        <is>
          <t>Design and engineering package (per railway, allocated to the station)</t>
        </is>
      </c>
      <c r="C231" s="8" t="inlineStr">
        <is>
          <t>EHF-E1070</t>
        </is>
      </c>
      <c r="D231" s="8" t="inlineStr">
        <is>
          <t>Detailed design: submittal (drawings, BOQ, data sheets) - Hufuf</t>
        </is>
      </c>
      <c r="E231" s="8" t="inlineStr">
        <is>
          <t>ENG.EHF.DET.SUB</t>
        </is>
      </c>
      <c r="F231" s="8" t="inlineStr">
        <is>
          <t>Engineering</t>
        </is>
      </c>
      <c r="G231" s="8" t="inlineStr">
        <is>
          <t>EHF</t>
        </is>
      </c>
      <c r="H231" s="8" t="inlineStr">
        <is>
          <t>MS2</t>
        </is>
      </c>
      <c r="I231" s="16" t="n">
        <v>0.1</v>
      </c>
      <c r="J231" s="10">
        <f>Station_BOQ!R11</f>
        <v/>
      </c>
      <c r="K231" s="9">
        <f>I231*62000000*J231</f>
        <v/>
      </c>
      <c r="L231" s="18" t="n">
        <v>0.392</v>
      </c>
      <c r="M231" s="9">
        <f>ROUND(K231*L231,0)</f>
        <v/>
      </c>
      <c r="N231" s="9" t="n">
        <v>110877</v>
      </c>
      <c r="O231" s="9">
        <f>N231-M231</f>
        <v/>
      </c>
      <c r="P231" s="8" t="inlineStr">
        <is>
          <t>MS2 Engineering submittal 10% x station price share 4.56% | Design stage key 39.2% of the engineering-submittal milestone</t>
        </is>
      </c>
      <c r="Q231" s="8" t="inlineStr">
        <is>
          <t>Annex 3 Design and engineering package (railway) allocated by station hardware share</t>
        </is>
      </c>
      <c r="R231" s="9" t="n">
        <v>97</v>
      </c>
      <c r="S231" s="19">
        <f>R231/1000</f>
        <v/>
      </c>
      <c r="T231" s="20" t="n">
        <v>46650</v>
      </c>
      <c r="U231" s="20" t="n">
        <v>46685</v>
      </c>
      <c r="V231" s="8" t="n">
        <v>25</v>
      </c>
    </row>
    <row r="232">
      <c r="A232" s="8" t="inlineStr">
        <is>
          <t>SH-DES</t>
        </is>
      </c>
      <c r="B232" s="8" t="inlineStr">
        <is>
          <t>Design and engineering package (per railway, allocated to the station)</t>
        </is>
      </c>
      <c r="C232" s="8" t="inlineStr">
        <is>
          <t>EHF-E1080</t>
        </is>
      </c>
      <c r="D232" s="8" t="inlineStr">
        <is>
          <t>Detailed design: SAR review and approval - Hufuf</t>
        </is>
      </c>
      <c r="E232" s="8" t="inlineStr">
        <is>
          <t>ENG.EHF.DET.APR</t>
        </is>
      </c>
      <c r="F232" s="8" t="inlineStr">
        <is>
          <t>Engineering</t>
        </is>
      </c>
      <c r="G232" s="8" t="inlineStr">
        <is>
          <t>EHF</t>
        </is>
      </c>
      <c r="H232" s="8" t="inlineStr">
        <is>
          <t>MS3</t>
        </is>
      </c>
      <c r="I232" s="16" t="n">
        <v>0.1</v>
      </c>
      <c r="J232" s="10">
        <f>Station_BOQ!R11</f>
        <v/>
      </c>
      <c r="K232" s="9">
        <f>I232*62000000*J232</f>
        <v/>
      </c>
      <c r="L232" s="18" t="n">
        <v>0.4</v>
      </c>
      <c r="M232" s="9">
        <f>ROUND(K232*L232,0)</f>
        <v/>
      </c>
      <c r="N232" s="9" t="n">
        <v>113140</v>
      </c>
      <c r="O232" s="9">
        <f>N232-M232</f>
        <v/>
      </c>
      <c r="P232" s="8" t="inlineStr">
        <is>
          <t>MS3 SAR approval of engineering 10% x station price share 4.56% | Design stage key 40.0% of the SAR-approval milestone</t>
        </is>
      </c>
      <c r="Q232" s="8" t="inlineStr">
        <is>
          <t>Annex 3 Design and engineering package (railway) allocated by station hardware share</t>
        </is>
      </c>
      <c r="R232" s="9" t="n">
        <v>58</v>
      </c>
      <c r="S232" s="19">
        <f>R232/1000</f>
        <v/>
      </c>
      <c r="T232" s="20" t="n">
        <v>46686</v>
      </c>
      <c r="U232" s="20" t="n">
        <v>46706</v>
      </c>
      <c r="V232" s="8" t="n">
        <v>15</v>
      </c>
    </row>
    <row r="233">
      <c r="A233" s="8" t="inlineStr">
        <is>
          <t>SH-DES</t>
        </is>
      </c>
      <c r="B233" s="8" t="inlineStr">
        <is>
          <t>Design and engineering package (per railway, allocated to the station)</t>
        </is>
      </c>
      <c r="C233" s="8" t="inlineStr">
        <is>
          <t>EHF-E1090</t>
        </is>
      </c>
      <c r="D233" s="8" t="inlineStr">
        <is>
          <t>IFC and shop drawings: submittal - Hufuf</t>
        </is>
      </c>
      <c r="E233" s="8" t="inlineStr">
        <is>
          <t>ENG.EHF.IFC.SUB</t>
        </is>
      </c>
      <c r="F233" s="8" t="inlineStr">
        <is>
          <t>Engineering</t>
        </is>
      </c>
      <c r="G233" s="8" t="inlineStr">
        <is>
          <t>EHF</t>
        </is>
      </c>
      <c r="H233" s="8" t="inlineStr">
        <is>
          <t>MS2</t>
        </is>
      </c>
      <c r="I233" s="16" t="n">
        <v>0.1</v>
      </c>
      <c r="J233" s="10">
        <f>Station_BOQ!R11</f>
        <v/>
      </c>
      <c r="K233" s="9">
        <f>I233*62000000*J233</f>
        <v/>
      </c>
      <c r="L233" s="18" t="n">
        <v>0.196</v>
      </c>
      <c r="M233" s="9">
        <f>ROUND(K233*L233,0)</f>
        <v/>
      </c>
      <c r="N233" s="9" t="n">
        <v>55439</v>
      </c>
      <c r="O233" s="9">
        <f>N233-M233</f>
        <v/>
      </c>
      <c r="P233" s="8" t="inlineStr">
        <is>
          <t>MS2 Engineering submittal 10% x station price share 4.56% | Design stage key 19.6% of the engineering-submittal milestone</t>
        </is>
      </c>
      <c r="Q233" s="8" t="inlineStr">
        <is>
          <t>Annex 3 Design and engineering package (railway) allocated by station hardware share</t>
        </is>
      </c>
      <c r="R233" s="9" t="n">
        <v>43</v>
      </c>
      <c r="S233" s="19">
        <f>R233/1000</f>
        <v/>
      </c>
      <c r="T233" s="20" t="n">
        <v>46686</v>
      </c>
      <c r="U233" s="20" t="n">
        <v>46702</v>
      </c>
      <c r="V233" s="8" t="n">
        <v>13</v>
      </c>
    </row>
    <row r="234">
      <c r="A234" s="8" t="inlineStr">
        <is>
          <t>SH-DES</t>
        </is>
      </c>
      <c r="B234" s="8" t="inlineStr">
        <is>
          <t>Design and engineering package (per railway, allocated to the station)</t>
        </is>
      </c>
      <c r="C234" s="8" t="inlineStr">
        <is>
          <t>EHF-E1100</t>
        </is>
      </c>
      <c r="D234" s="8" t="inlineStr">
        <is>
          <t>IFC and shop drawings: SAR approval and release - Hufuf</t>
        </is>
      </c>
      <c r="E234" s="8" t="inlineStr">
        <is>
          <t>ENG.EHF.IFC.APR</t>
        </is>
      </c>
      <c r="F234" s="8" t="inlineStr">
        <is>
          <t>Engineering</t>
        </is>
      </c>
      <c r="G234" s="8" t="inlineStr">
        <is>
          <t>EHF</t>
        </is>
      </c>
      <c r="H234" s="8" t="inlineStr">
        <is>
          <t>MS3</t>
        </is>
      </c>
      <c r="I234" s="16" t="n">
        <v>0.1</v>
      </c>
      <c r="J234" s="10">
        <f>Station_BOQ!R11</f>
        <v/>
      </c>
      <c r="K234" s="9">
        <f>I234*62000000*J234</f>
        <v/>
      </c>
      <c r="L234" s="18" t="n">
        <v>0.2</v>
      </c>
      <c r="M234" s="9">
        <f>ROUND(K234*L234,0)</f>
        <v/>
      </c>
      <c r="N234" s="9" t="n">
        <v>56570</v>
      </c>
      <c r="O234" s="9">
        <f>N234-M234</f>
        <v/>
      </c>
      <c r="P234" s="8" t="inlineStr">
        <is>
          <t>MS3 SAR approval of engineering 10% x station price share 4.56% | Design stage key 20.0% of the SAR-approval milestone</t>
        </is>
      </c>
      <c r="Q234" s="8" t="inlineStr">
        <is>
          <t>Annex 3 Design and engineering package (railway) allocated by station hardware share</t>
        </is>
      </c>
      <c r="R234" s="9" t="n">
        <v>50</v>
      </c>
      <c r="S234" s="19">
        <f>R234/1000</f>
        <v/>
      </c>
      <c r="T234" s="20" t="n">
        <v>46705</v>
      </c>
      <c r="U234" s="20" t="n">
        <v>46723</v>
      </c>
      <c r="V234" s="8" t="n">
        <v>15</v>
      </c>
    </row>
    <row r="235">
      <c r="A235" s="8" t="inlineStr">
        <is>
          <t>SH-DES</t>
        </is>
      </c>
      <c r="B235" s="8" t="inlineStr">
        <is>
          <t>Design and engineering package (per railway, allocated to the station)</t>
        </is>
      </c>
      <c r="C235" s="8" t="inlineStr">
        <is>
          <t>EHF-E1110</t>
        </is>
      </c>
      <c r="D235" s="8" t="inlineStr">
        <is>
          <t>HCIS Stage 3 and 4 documents: preparation - Hufuf</t>
        </is>
      </c>
      <c r="E235" s="8" t="inlineStr">
        <is>
          <t>ENG.EHF.HCS.SUB</t>
        </is>
      </c>
      <c r="F235" s="8" t="inlineStr">
        <is>
          <t>Engineering</t>
        </is>
      </c>
      <c r="G235" s="8" t="inlineStr">
        <is>
          <t>EHF</t>
        </is>
      </c>
      <c r="H235" s="8" t="inlineStr">
        <is>
          <t>MS2</t>
        </is>
      </c>
      <c r="I235" s="16" t="n">
        <v>0.1</v>
      </c>
      <c r="J235" s="10">
        <f>Station_BOQ!R11</f>
        <v/>
      </c>
      <c r="K235" s="9">
        <f>I235*62000000*J235</f>
        <v/>
      </c>
      <c r="L235" s="18" t="n">
        <v>0.049</v>
      </c>
      <c r="M235" s="9">
        <f>ROUND(K235*L235,0)</f>
        <v/>
      </c>
      <c r="N235" s="9" t="n">
        <v>13860</v>
      </c>
      <c r="O235" s="9">
        <f>N235-M235</f>
        <v/>
      </c>
      <c r="P235" s="8" t="inlineStr">
        <is>
          <t>MS2 Engineering submittal 10% x station price share 4.56% | Design stage key 4.9% of the engineering-submittal milestone</t>
        </is>
      </c>
      <c r="Q235" s="8" t="inlineStr">
        <is>
          <t>Annex 3 Design and engineering package (railway) allocated by station hardware share</t>
        </is>
      </c>
      <c r="R235" s="9" t="n">
        <v>20</v>
      </c>
      <c r="S235" s="19">
        <f>R235/1000</f>
        <v/>
      </c>
      <c r="T235" s="20" t="n">
        <v>46664</v>
      </c>
      <c r="U235" s="20" t="n">
        <v>46702</v>
      </c>
      <c r="V235" s="8" t="n">
        <v>29</v>
      </c>
    </row>
    <row r="236">
      <c r="A236" s="8" t="inlineStr">
        <is>
          <t>SH-DES</t>
        </is>
      </c>
      <c r="B236" s="8" t="inlineStr">
        <is>
          <t>Design and engineering package (per railway, allocated to the station)</t>
        </is>
      </c>
      <c r="C236" s="8" t="inlineStr">
        <is>
          <t>EHF-E1120</t>
        </is>
      </c>
      <c r="D236" s="8" t="inlineStr">
        <is>
          <t>HCIS Stage 3 and 4 documents: SAR final review and HCIS submission - Hufuf</t>
        </is>
      </c>
      <c r="E236" s="8" t="inlineStr">
        <is>
          <t>ENG.EHF.HCS.APR</t>
        </is>
      </c>
      <c r="F236" s="8" t="inlineStr">
        <is>
          <t>Engineering</t>
        </is>
      </c>
      <c r="G236" s="8" t="inlineStr">
        <is>
          <t>EHF</t>
        </is>
      </c>
      <c r="H236" s="8" t="inlineStr">
        <is>
          <t>MS3</t>
        </is>
      </c>
      <c r="I236" s="16" t="n">
        <v>0.1</v>
      </c>
      <c r="J236" s="10">
        <f>Station_BOQ!R11</f>
        <v/>
      </c>
      <c r="K236" s="9">
        <f>I236*62000000*J236</f>
        <v/>
      </c>
      <c r="L236" s="18" t="n">
        <v>0.05</v>
      </c>
      <c r="M236" s="9">
        <f>ROUND(K236*L236,0)</f>
        <v/>
      </c>
      <c r="N236" s="9" t="n">
        <v>14143</v>
      </c>
      <c r="O236" s="9">
        <f>N236-M236</f>
        <v/>
      </c>
      <c r="P236" s="8" t="inlineStr">
        <is>
          <t>MS3 SAR approval of engineering 10% x station price share 4.56% | Design stage key 5.0% of the SAR-approval milestone</t>
        </is>
      </c>
      <c r="Q236" s="8" t="inlineStr">
        <is>
          <t>Annex 3 Design and engineering package (railway) allocated by station hardware share</t>
        </is>
      </c>
      <c r="R236" s="9" t="n">
        <v>11</v>
      </c>
      <c r="S236" s="19">
        <f>R236/1000</f>
        <v/>
      </c>
      <c r="T236" s="20" t="n">
        <v>46705</v>
      </c>
      <c r="U236" s="20" t="n">
        <v>46723</v>
      </c>
      <c r="V236" s="8" t="n">
        <v>15</v>
      </c>
    </row>
    <row r="237">
      <c r="A237" s="8" t="inlineStr">
        <is>
          <t>SH-DES, SH-TRN</t>
        </is>
      </c>
      <c r="B237" s="8" t="inlineStr">
        <is>
          <t>Design and engineering package (per railway, allocated to the station) and Training (per railway, allocated): documentation and training share</t>
        </is>
      </c>
      <c r="C237" s="8" t="inlineStr">
        <is>
          <t>EHF-E1130</t>
        </is>
      </c>
      <c r="D237" s="8" t="inlineStr">
        <is>
          <t>As-built and O&amp;M documentation: submittal - Hufuf</t>
        </is>
      </c>
      <c r="E237" s="8" t="inlineStr">
        <is>
          <t>ENG.EHF.ASB.SUB</t>
        </is>
      </c>
      <c r="F237" s="8" t="inlineStr">
        <is>
          <t>Engineering</t>
        </is>
      </c>
      <c r="G237" s="8" t="inlineStr">
        <is>
          <t>EHF</t>
        </is>
      </c>
      <c r="H237" s="8" t="inlineStr">
        <is>
          <t>MS7</t>
        </is>
      </c>
      <c r="I237" s="16" t="n">
        <v>0.1</v>
      </c>
      <c r="J237" s="10">
        <f>Station_BOQ!R11</f>
        <v/>
      </c>
      <c r="K237" s="9">
        <f>I237*62000000*J237</f>
        <v/>
      </c>
      <c r="L237" s="18" t="n">
        <v>0.15</v>
      </c>
      <c r="M237" s="9">
        <f>ROUND(K237*L237,0)</f>
        <v/>
      </c>
      <c r="N237" s="9" t="n">
        <v>42428</v>
      </c>
      <c r="O237" s="9">
        <f>N237-M237</f>
        <v/>
      </c>
      <c r="P237" s="8" t="inlineStr">
        <is>
          <t>MS7 Final acceptance and handover 10% x station price share 4.56% | Fixed key 15% of final-acceptance milestone</t>
        </is>
      </c>
      <c r="Q237" s="8" t="inlineStr">
        <is>
          <t>Annex 3 documentation and training share</t>
        </is>
      </c>
      <c r="R237" s="9" t="n">
        <v>33</v>
      </c>
      <c r="S237" s="19">
        <f>R237/1000</f>
        <v/>
      </c>
      <c r="T237" s="20" t="n">
        <v>46896</v>
      </c>
      <c r="U237" s="20" t="n">
        <v>46932</v>
      </c>
      <c r="V237" s="8" t="n">
        <v>27</v>
      </c>
    </row>
    <row r="238">
      <c r="A238" s="8" t="inlineStr">
        <is>
          <t>SH-DES</t>
        </is>
      </c>
      <c r="B238" s="8" t="inlineStr">
        <is>
          <t>Design and engineering package (per railway, allocated to the station): documentation share</t>
        </is>
      </c>
      <c r="C238" s="8" t="inlineStr">
        <is>
          <t>EHF-E1140</t>
        </is>
      </c>
      <c r="D238" s="8" t="inlineStr">
        <is>
          <t>As-built and O&amp;M documentation: SAR review and approval - Hufuf</t>
        </is>
      </c>
      <c r="E238" s="8" t="inlineStr">
        <is>
          <t>ENG.EHF.ASB.APR</t>
        </is>
      </c>
      <c r="F238" s="8" t="inlineStr">
        <is>
          <t>Engineering</t>
        </is>
      </c>
      <c r="G238" s="8" t="inlineStr">
        <is>
          <t>EHF</t>
        </is>
      </c>
      <c r="H238" s="8" t="inlineStr">
        <is>
          <t>MS7</t>
        </is>
      </c>
      <c r="I238" s="16" t="n">
        <v>0.1</v>
      </c>
      <c r="J238" s="10">
        <f>Station_BOQ!R11</f>
        <v/>
      </c>
      <c r="K238" s="9">
        <f>I238*62000000*J238</f>
        <v/>
      </c>
      <c r="L238" s="18" t="n">
        <v>0.05</v>
      </c>
      <c r="M238" s="9">
        <f>ROUND(K238*L238,0)</f>
        <v/>
      </c>
      <c r="N238" s="9" t="n">
        <v>14143</v>
      </c>
      <c r="O238" s="9">
        <f>N238-M238</f>
        <v/>
      </c>
      <c r="P238" s="8" t="inlineStr">
        <is>
          <t>MS7 Final acceptance and handover 10% x station price share 4.56% | Fixed key 5%</t>
        </is>
      </c>
      <c r="Q238" s="8" t="inlineStr">
        <is>
          <t>Annex 3 documentation share</t>
        </is>
      </c>
      <c r="R238" s="9" t="n">
        <v>18</v>
      </c>
      <c r="S238" s="19">
        <f>R238/1000</f>
        <v/>
      </c>
      <c r="T238" s="20" t="n">
        <v>46933</v>
      </c>
      <c r="U238" s="20" t="n">
        <v>46953</v>
      </c>
      <c r="V238" s="8" t="n">
        <v>15</v>
      </c>
    </row>
    <row r="239">
      <c r="A239" s="8" t="inlineStr">
        <is>
          <t>-</t>
        </is>
      </c>
      <c r="B239" s="8" t="inlineStr">
        <is>
          <t>No BOQ cost: administrative or review step with no payment milestone</t>
        </is>
      </c>
      <c r="C239" s="8" t="inlineStr">
        <is>
          <t>EHF-X1010</t>
        </is>
      </c>
      <c r="D239" s="8" t="inlineStr">
        <is>
          <t>Enabling works: site preparation, setting out, temporary works and utilities clearance - Hufuf</t>
        </is>
      </c>
      <c r="E239" s="8" t="inlineStr">
        <is>
          <t>CON.EHF.ENA</t>
        </is>
      </c>
      <c r="F239" s="8" t="inlineStr">
        <is>
          <t>Construction</t>
        </is>
      </c>
      <c r="G239" s="8" t="inlineStr">
        <is>
          <t>EHF</t>
        </is>
      </c>
      <c r="H239" s="8" t="inlineStr">
        <is>
          <t>MS5</t>
        </is>
      </c>
      <c r="I239" s="16" t="n">
        <v>0.2</v>
      </c>
      <c r="J239" s="10">
        <f>Station_BOQ!R11</f>
        <v/>
      </c>
      <c r="K239" s="9">
        <f>I239*62000000*J239</f>
        <v/>
      </c>
      <c r="L239" s="18" t="n">
        <v>0.01463095618857146</v>
      </c>
      <c r="M239" s="9">
        <f>ROUND(K239*L239,0)</f>
        <v/>
      </c>
      <c r="N239" s="9" t="n">
        <v>8277</v>
      </c>
      <c r="O239" s="9">
        <f>N239-M239</f>
        <v/>
      </c>
      <c r="P239" s="8" t="inlineStr">
        <is>
          <t>MS5 Installation 20% x station price share 4.56% | BOQ civil share 36.6% x 4% (enabling: site preparation)</t>
        </is>
      </c>
      <c r="Q239" s="8" t="inlineStr">
        <is>
          <t>Annex 3 A6 Civil works (SAR 659,866)</t>
        </is>
      </c>
      <c r="R239" s="9" t="n">
        <v>44</v>
      </c>
      <c r="S239" s="19">
        <f>R239/1000</f>
        <v/>
      </c>
      <c r="T239" s="20" t="n">
        <v>46726</v>
      </c>
      <c r="U239" s="20" t="n">
        <v>46730</v>
      </c>
      <c r="V239" s="8" t="n">
        <v>5</v>
      </c>
    </row>
    <row r="240">
      <c r="A240" s="8" t="inlineStr">
        <is>
          <t>-</t>
        </is>
      </c>
      <c r="B240" s="8" t="inlineStr">
        <is>
          <t>No BOQ cost: administrative or review step with no payment milestone</t>
        </is>
      </c>
      <c r="C240" s="8" t="inlineStr">
        <is>
          <t>EHF-X1020</t>
        </is>
      </c>
      <c r="D240" s="8" t="inlineStr">
        <is>
          <t>Enabling works: cable routes, duct-bank and cabinet plinth preparation - Hufuf</t>
        </is>
      </c>
      <c r="E240" s="8" t="inlineStr">
        <is>
          <t>CON.EHF.ENA</t>
        </is>
      </c>
      <c r="F240" s="8" t="inlineStr">
        <is>
          <t>Construction</t>
        </is>
      </c>
      <c r="G240" s="8" t="inlineStr">
        <is>
          <t>EHF</t>
        </is>
      </c>
      <c r="H240" s="8" t="inlineStr">
        <is>
          <t>MS5</t>
        </is>
      </c>
      <c r="I240" s="16" t="n">
        <v>0.2</v>
      </c>
      <c r="J240" s="10">
        <f>Station_BOQ!R11</f>
        <v/>
      </c>
      <c r="K240" s="9">
        <f>I240*62000000*J240</f>
        <v/>
      </c>
      <c r="L240" s="18" t="n">
        <v>0.02194643428285719</v>
      </c>
      <c r="M240" s="9">
        <f>ROUND(K240*L240,0)</f>
        <v/>
      </c>
      <c r="N240" s="9" t="n">
        <v>12415</v>
      </c>
      <c r="O240" s="9">
        <f>N240-M240</f>
        <v/>
      </c>
      <c r="P240" s="8" t="inlineStr">
        <is>
          <t>MS5 Installation 20% x station price share 4.56% | BOQ civil share 36.6% x 6% (enabling: routes, ducts, plinths)</t>
        </is>
      </c>
      <c r="Q240" s="8" t="inlineStr">
        <is>
          <t>Annex 3 A6 Civil works (SAR 659,866)</t>
        </is>
      </c>
      <c r="R240" s="9" t="n">
        <v>66</v>
      </c>
      <c r="S240" s="19">
        <f>R240/1000</f>
        <v/>
      </c>
      <c r="T240" s="20" t="n">
        <v>46733</v>
      </c>
      <c r="U240" s="20" t="n">
        <v>46744</v>
      </c>
      <c r="V240" s="8" t="n">
        <v>10</v>
      </c>
    </row>
    <row r="241">
      <c r="A241" s="8" t="inlineStr">
        <is>
          <t>A1</t>
        </is>
      </c>
      <c r="B241" s="8" t="inlineStr">
        <is>
          <t>A1 CCTV system</t>
        </is>
      </c>
      <c r="C241" s="8" t="inlineStr">
        <is>
          <t>EHF-P1010</t>
        </is>
      </c>
      <c r="D241" s="8" t="inlineStr">
        <is>
          <t>Manufacture CCTV cameras and analytics - Hufuf</t>
        </is>
      </c>
      <c r="E241" s="8" t="inlineStr">
        <is>
          <t>PRO.EHF.CCT</t>
        </is>
      </c>
      <c r="F241" s="8" t="inlineStr">
        <is>
          <t>Procurement</t>
        </is>
      </c>
      <c r="G241" s="8" t="inlineStr">
        <is>
          <t>EHF</t>
        </is>
      </c>
      <c r="H241" s="8" t="inlineStr">
        <is>
          <t>MS4</t>
        </is>
      </c>
      <c r="I241" s="16" t="n">
        <v>0.2</v>
      </c>
      <c r="J241" s="10">
        <f>Station_BOQ!R11</f>
        <v/>
      </c>
      <c r="K241" s="9">
        <f>I241*62000000*J241</f>
        <v/>
      </c>
      <c r="L241" s="18" t="n">
        <v>0.1259580163980419</v>
      </c>
      <c r="M241" s="9">
        <f>ROUND(K241*L241,0)</f>
        <v/>
      </c>
      <c r="N241" s="9" t="n">
        <v>71254</v>
      </c>
      <c r="O241" s="9">
        <f>N241-M241</f>
        <v/>
      </c>
      <c r="P241" s="8" t="inlineStr">
        <is>
          <t>MS4 Material delivery 20% x station price share 4.56% | BOQ section share 16.8% of station equipment x 75% (manufacture)</t>
        </is>
      </c>
      <c r="Q241" s="8" t="inlineStr">
        <is>
          <t>Annex 3 A1 CCTV system (SAR 192,155)</t>
        </is>
      </c>
      <c r="R241" s="9" t="n">
        <v>177</v>
      </c>
      <c r="S241" s="19">
        <f>R241/1000</f>
        <v/>
      </c>
      <c r="T241" s="20" t="n">
        <v>46726</v>
      </c>
      <c r="U241" s="20" t="n">
        <v>46782</v>
      </c>
      <c r="V241" s="8" t="n">
        <v>41</v>
      </c>
    </row>
    <row r="242">
      <c r="A242" s="8" t="inlineStr">
        <is>
          <t>A2</t>
        </is>
      </c>
      <c r="B242" s="8" t="inlineStr">
        <is>
          <t>A2 Video management and video wall</t>
        </is>
      </c>
      <c r="C242" s="8" t="inlineStr">
        <is>
          <t>EHF-P1020</t>
        </is>
      </c>
      <c r="D242" s="8" t="inlineStr">
        <is>
          <t>Manufacture video management servers, storage and video wall - Hufuf</t>
        </is>
      </c>
      <c r="E242" s="8" t="inlineStr">
        <is>
          <t>PRO.EHF.VMS</t>
        </is>
      </c>
      <c r="F242" s="8" t="inlineStr">
        <is>
          <t>Procurement</t>
        </is>
      </c>
      <c r="G242" s="8" t="inlineStr">
        <is>
          <t>EHF</t>
        </is>
      </c>
      <c r="H242" s="8" t="inlineStr">
        <is>
          <t>MS4</t>
        </is>
      </c>
      <c r="I242" s="16" t="n">
        <v>0.2</v>
      </c>
      <c r="J242" s="10">
        <f>Station_BOQ!R11</f>
        <v/>
      </c>
      <c r="K242" s="9">
        <f>I242*62000000*J242</f>
        <v/>
      </c>
      <c r="L242" s="18" t="n">
        <v>0.2287918833101286</v>
      </c>
      <c r="M242" s="9">
        <f>ROUND(K242*L242,0)</f>
        <v/>
      </c>
      <c r="N242" s="9" t="n">
        <v>129428</v>
      </c>
      <c r="O242" s="9">
        <f>N242-M242</f>
        <v/>
      </c>
      <c r="P242" s="8" t="inlineStr">
        <is>
          <t>MS4 Material delivery 20% x station price share 4.56% | BOQ section share 30.5% of station equipment x 75% (manufacture)</t>
        </is>
      </c>
      <c r="Q242" s="8" t="inlineStr">
        <is>
          <t>Annex 3 A2 Video management and wall (SAR 349,033)</t>
        </is>
      </c>
      <c r="R242" s="9" t="n">
        <v>321</v>
      </c>
      <c r="S242" s="19">
        <f>R242/1000</f>
        <v/>
      </c>
      <c r="T242" s="20" t="n">
        <v>46726</v>
      </c>
      <c r="U242" s="20" t="n">
        <v>46782</v>
      </c>
      <c r="V242" s="8" t="n">
        <v>41</v>
      </c>
    </row>
    <row r="243">
      <c r="A243" s="8" t="inlineStr">
        <is>
          <t>A3</t>
        </is>
      </c>
      <c r="B243" s="8" t="inlineStr">
        <is>
          <t>A3 Access control and intercom</t>
        </is>
      </c>
      <c r="C243" s="8" t="inlineStr">
        <is>
          <t>EHF-P1030</t>
        </is>
      </c>
      <c r="D243" s="8" t="inlineStr">
        <is>
          <t>Manufacture access control and intercom equipment - Hufuf</t>
        </is>
      </c>
      <c r="E243" s="8" t="inlineStr">
        <is>
          <t>PRO.EHF.ACC</t>
        </is>
      </c>
      <c r="F243" s="8" t="inlineStr">
        <is>
          <t>Procurement</t>
        </is>
      </c>
      <c r="G243" s="8" t="inlineStr">
        <is>
          <t>EHF</t>
        </is>
      </c>
      <c r="H243" s="8" t="inlineStr">
        <is>
          <t>MS4</t>
        </is>
      </c>
      <c r="I243" s="16" t="n">
        <v>0.2</v>
      </c>
      <c r="J243" s="10">
        <f>Station_BOQ!R11</f>
        <v/>
      </c>
      <c r="K243" s="9">
        <f>I243*62000000*J243</f>
        <v/>
      </c>
      <c r="L243" s="18" t="n">
        <v>0.02889781245821174</v>
      </c>
      <c r="M243" s="9">
        <f>ROUND(K243*L243,0)</f>
        <v/>
      </c>
      <c r="N243" s="9" t="n">
        <v>16348</v>
      </c>
      <c r="O243" s="9">
        <f>N243-M243</f>
        <v/>
      </c>
      <c r="P243" s="8" t="inlineStr">
        <is>
          <t>MS4 Material delivery 20% x station price share 4.56% | BOQ section share 3.9% of station equipment x 75% (manufacture)</t>
        </is>
      </c>
      <c r="Q243" s="8" t="inlineStr">
        <is>
          <t>Annex 3 A3 Access control and intercom (SAR 44,085)</t>
        </is>
      </c>
      <c r="R243" s="9" t="n">
        <v>40</v>
      </c>
      <c r="S243" s="19">
        <f>R243/1000</f>
        <v/>
      </c>
      <c r="T243" s="20" t="n">
        <v>46726</v>
      </c>
      <c r="U243" s="20" t="n">
        <v>46782</v>
      </c>
      <c r="V243" s="8" t="n">
        <v>41</v>
      </c>
    </row>
    <row r="244">
      <c r="A244" s="8" t="inlineStr">
        <is>
          <t>A4, A5</t>
        </is>
      </c>
      <c r="B244" s="8" t="inlineStr">
        <is>
          <t>A4 UPS and A5 Poles, cabinets and network</t>
        </is>
      </c>
      <c r="C244" s="8" t="inlineStr">
        <is>
          <t>EHF-P1040</t>
        </is>
      </c>
      <c r="D244" s="8" t="inlineStr">
        <is>
          <t>Manufacture UPS, network switches and field cabinets - Hufuf</t>
        </is>
      </c>
      <c r="E244" s="8" t="inlineStr">
        <is>
          <t>PRO.EHF.UPN</t>
        </is>
      </c>
      <c r="F244" s="8" t="inlineStr">
        <is>
          <t>Procurement</t>
        </is>
      </c>
      <c r="G244" s="8" t="inlineStr">
        <is>
          <t>EHF</t>
        </is>
      </c>
      <c r="H244" s="8" t="inlineStr">
        <is>
          <t>MS4</t>
        </is>
      </c>
      <c r="I244" s="16" t="n">
        <v>0.2</v>
      </c>
      <c r="J244" s="10">
        <f>Station_BOQ!R11</f>
        <v/>
      </c>
      <c r="K244" s="9">
        <f>I244*62000000*J244</f>
        <v/>
      </c>
      <c r="L244" s="18" t="n">
        <v>0.3663522878336178</v>
      </c>
      <c r="M244" s="9">
        <f>ROUND(K244*L244,0)</f>
        <v/>
      </c>
      <c r="N244" s="9" t="n">
        <v>207246</v>
      </c>
      <c r="O244" s="9">
        <f>N244-M244</f>
        <v/>
      </c>
      <c r="P244" s="8" t="inlineStr">
        <is>
          <t>MS4 Material delivery 20% x station price share 4.56% | BOQ section share 48.8% of station equipment x 75% (manufacture)</t>
        </is>
      </c>
      <c r="Q244" s="8" t="inlineStr">
        <is>
          <t>Annex 3 A4 UPS + A5 poles, cabinets and network (SAR 558,888)</t>
        </is>
      </c>
      <c r="R244" s="9" t="n">
        <v>513</v>
      </c>
      <c r="S244" s="19">
        <f>R244/1000</f>
        <v/>
      </c>
      <c r="T244" s="20" t="n">
        <v>46726</v>
      </c>
      <c r="U244" s="20" t="n">
        <v>46782</v>
      </c>
      <c r="V244" s="8" t="n">
        <v>41</v>
      </c>
    </row>
    <row r="245">
      <c r="A245" s="8" t="inlineStr">
        <is>
          <t>SH-FAT</t>
        </is>
      </c>
      <c r="B245" s="8" t="inlineStr">
        <is>
          <t>Factory acceptance test (per railway, allocated)</t>
        </is>
      </c>
      <c r="C245" s="8" t="inlineStr">
        <is>
          <t>EHF-P1050</t>
        </is>
      </c>
      <c r="D245" s="8" t="inlineStr">
        <is>
          <t>Factory acceptance test at vendor premises - Hufuf</t>
        </is>
      </c>
      <c r="E245" s="8" t="inlineStr">
        <is>
          <t>PRO.EHF.LOG</t>
        </is>
      </c>
      <c r="F245" s="8" t="inlineStr">
        <is>
          <t>Procurement</t>
        </is>
      </c>
      <c r="G245" s="8" t="inlineStr">
        <is>
          <t>EHF</t>
        </is>
      </c>
      <c r="H245" s="8" t="inlineStr">
        <is>
          <t>MS4</t>
        </is>
      </c>
      <c r="I245" s="16" t="n">
        <v>0.2</v>
      </c>
      <c r="J245" s="10">
        <f>Station_BOQ!R11</f>
        <v/>
      </c>
      <c r="K245" s="9">
        <f>I245*62000000*J245</f>
        <v/>
      </c>
      <c r="L245" s="18" t="n">
        <v>0.05</v>
      </c>
      <c r="M245" s="9">
        <f>ROUND(K245*L245,0)</f>
        <v/>
      </c>
      <c r="N245" s="9" t="n">
        <v>28285</v>
      </c>
      <c r="O245" s="9">
        <f>N245-M245</f>
        <v/>
      </c>
      <c r="P245" s="8" t="inlineStr">
        <is>
          <t>MS4 Material delivery 20% x station price share 4.56% | Fixed key 5% (FAT)</t>
        </is>
      </c>
      <c r="Q245" s="8" t="inlineStr">
        <is>
          <t>Annex 3 Factory acceptance test (railway), allocated by hardware share</t>
        </is>
      </c>
      <c r="R245" s="9" t="n">
        <v>175</v>
      </c>
      <c r="S245" s="19">
        <f>R245/1000</f>
        <v/>
      </c>
      <c r="T245" s="20" t="n">
        <v>46783</v>
      </c>
      <c r="U245" s="20" t="n">
        <v>46796</v>
      </c>
      <c r="V245" s="8" t="n">
        <v>10</v>
      </c>
    </row>
    <row r="246">
      <c r="A246" s="8" t="inlineStr">
        <is>
          <t>A1-A5</t>
        </is>
      </c>
      <c r="B246" s="8" t="inlineStr">
        <is>
          <t>A1 to A5 equipment sections: logistics (shipping, customs, delivery) share</t>
        </is>
      </c>
      <c r="C246" s="8" t="inlineStr">
        <is>
          <t>EHF-P1060</t>
        </is>
      </c>
      <c r="D246" s="8" t="inlineStr">
        <is>
          <t>Shipping and customs clearance - Hufuf</t>
        </is>
      </c>
      <c r="E246" s="8" t="inlineStr">
        <is>
          <t>PRO.EHF.LOG</t>
        </is>
      </c>
      <c r="F246" s="8" t="inlineStr">
        <is>
          <t>Procurement</t>
        </is>
      </c>
      <c r="G246" s="8" t="inlineStr">
        <is>
          <t>EHF</t>
        </is>
      </c>
      <c r="H246" s="8" t="inlineStr">
        <is>
          <t>MS4</t>
        </is>
      </c>
      <c r="I246" s="16" t="n">
        <v>0.2</v>
      </c>
      <c r="J246" s="10">
        <f>Station_BOQ!R11</f>
        <v/>
      </c>
      <c r="K246" s="9">
        <f>I246*62000000*J246</f>
        <v/>
      </c>
      <c r="L246" s="18" t="n">
        <v>0.15</v>
      </c>
      <c r="M246" s="9">
        <f>ROUND(K246*L246,0)</f>
        <v/>
      </c>
      <c r="N246" s="9" t="n">
        <v>84855</v>
      </c>
      <c r="O246" s="9">
        <f>N246-M246</f>
        <v/>
      </c>
      <c r="P246" s="8" t="inlineStr">
        <is>
          <t>MS4 Material delivery 20% x station price share 4.56% | Fixed key 15% (shipping and customs)</t>
        </is>
      </c>
      <c r="Q246" s="8" t="inlineStr">
        <is>
          <t>Annex 3 equipment sections A1-A5 (logistics share)</t>
        </is>
      </c>
      <c r="R246" s="9" t="n">
        <v>350</v>
      </c>
      <c r="S246" s="19">
        <f>R246/1000</f>
        <v/>
      </c>
      <c r="T246" s="20" t="n">
        <v>46797</v>
      </c>
      <c r="U246" s="20" t="n">
        <v>46831</v>
      </c>
      <c r="V246" s="8" t="n">
        <v>20</v>
      </c>
    </row>
    <row r="247">
      <c r="A247" s="8" t="inlineStr">
        <is>
          <t>SH-SPR</t>
        </is>
      </c>
      <c r="B247" s="8" t="inlineStr">
        <is>
          <t>Commissioning spares (per railway, allocated)</t>
        </is>
      </c>
      <c r="C247" s="8" t="inlineStr">
        <is>
          <t>EHF-P1070</t>
        </is>
      </c>
      <c r="D247" s="8" t="inlineStr">
        <is>
          <t>Delivery to station and receiving inspection - Hufuf</t>
        </is>
      </c>
      <c r="E247" s="8" t="inlineStr">
        <is>
          <t>PRO.EHF.LOG</t>
        </is>
      </c>
      <c r="F247" s="8" t="inlineStr">
        <is>
          <t>Procurement</t>
        </is>
      </c>
      <c r="G247" s="8" t="inlineStr">
        <is>
          <t>EHF</t>
        </is>
      </c>
      <c r="H247" s="8" t="inlineStr">
        <is>
          <t>MS4</t>
        </is>
      </c>
      <c r="I247" s="16" t="n">
        <v>0.2</v>
      </c>
      <c r="J247" s="10">
        <f>Station_BOQ!R11</f>
        <v/>
      </c>
      <c r="K247" s="9">
        <f>I247*62000000*J247</f>
        <v/>
      </c>
      <c r="L247" s="18" t="n">
        <v>0.05</v>
      </c>
      <c r="M247" s="9">
        <f>ROUND(K247*L247,0)</f>
        <v/>
      </c>
      <c r="N247" s="9" t="n">
        <v>28285</v>
      </c>
      <c r="O247" s="9">
        <f>N247-M247</f>
        <v/>
      </c>
      <c r="P247" s="8" t="inlineStr">
        <is>
          <t>MS4 Material delivery 20% x station price share 4.56% | Fixed key 5% (delivery, receiving) incl. commissioning spares</t>
        </is>
      </c>
      <c r="Q247" s="8" t="inlineStr">
        <is>
          <t>Annex 3 Commissioning spares (railway), allocated by hardware share</t>
        </is>
      </c>
      <c r="R247" s="9" t="n">
        <v>175</v>
      </c>
      <c r="S247" s="19">
        <f>R247/1000</f>
        <v/>
      </c>
      <c r="T247" s="20" t="n">
        <v>46832</v>
      </c>
      <c r="U247" s="20" t="n">
        <v>46838</v>
      </c>
      <c r="V247" s="8" t="n">
        <v>5</v>
      </c>
    </row>
    <row r="248">
      <c r="A248" s="8" t="inlineStr">
        <is>
          <t>A6</t>
        </is>
      </c>
      <c r="B248" s="8" t="inlineStr">
        <is>
          <t>A6 Civil works</t>
        </is>
      </c>
      <c r="C248" s="8" t="inlineStr">
        <is>
          <t>EHF-C1010</t>
        </is>
      </c>
      <c r="D248" s="8" t="inlineStr">
        <is>
          <t>Civil: platform trenches and duct banks - Hufuf</t>
        </is>
      </c>
      <c r="E248" s="8" t="inlineStr">
        <is>
          <t>CON.EHF.CIV</t>
        </is>
      </c>
      <c r="F248" s="8" t="inlineStr">
        <is>
          <t>Construction</t>
        </is>
      </c>
      <c r="G248" s="8" t="inlineStr">
        <is>
          <t>EHF</t>
        </is>
      </c>
      <c r="H248" s="8" t="inlineStr">
        <is>
          <t>MS5</t>
        </is>
      </c>
      <c r="I248" s="16" t="n">
        <v>0.2</v>
      </c>
      <c r="J248" s="10">
        <f>Station_BOQ!R11</f>
        <v/>
      </c>
      <c r="K248" s="9">
        <f>I248*62000000*J248</f>
        <v/>
      </c>
      <c r="L248" s="18" t="n">
        <v>0.1828869523571432</v>
      </c>
      <c r="M248" s="9">
        <f>ROUND(K248*L248,0)</f>
        <v/>
      </c>
      <c r="N248" s="9" t="n">
        <v>103459</v>
      </c>
      <c r="O248" s="9">
        <f>N248-M248</f>
        <v/>
      </c>
      <c r="P248" s="8" t="inlineStr">
        <is>
          <t>MS5 Installation 20% x station price share 4.56% | BOQ civil share 36.6% x 50% (trenches and duct banks)</t>
        </is>
      </c>
      <c r="Q248" s="8" t="inlineStr">
        <is>
          <t>Annex 3 A6 Civil works (SAR 659,866)</t>
        </is>
      </c>
      <c r="R248" s="9" t="n">
        <v>285</v>
      </c>
      <c r="S248" s="19">
        <f>R248/1000</f>
        <v/>
      </c>
      <c r="T248" s="20" t="n">
        <v>46747</v>
      </c>
      <c r="U248" s="20" t="n">
        <v>46826</v>
      </c>
      <c r="V248" s="8" t="n">
        <v>53</v>
      </c>
    </row>
    <row r="249">
      <c r="A249" s="8" t="inlineStr">
        <is>
          <t>A6</t>
        </is>
      </c>
      <c r="B249" s="8" t="inlineStr">
        <is>
          <t>A6 Civil works</t>
        </is>
      </c>
      <c r="C249" s="8" t="inlineStr">
        <is>
          <t>EHF-C1020</t>
        </is>
      </c>
      <c r="D249" s="8" t="inlineStr">
        <is>
          <t>Civil: camera and ALPR pole foundations and poles - Hufuf</t>
        </is>
      </c>
      <c r="E249" s="8" t="inlineStr">
        <is>
          <t>CON.EHF.CIV</t>
        </is>
      </c>
      <c r="F249" s="8" t="inlineStr">
        <is>
          <t>Construction</t>
        </is>
      </c>
      <c r="G249" s="8" t="inlineStr">
        <is>
          <t>EHF</t>
        </is>
      </c>
      <c r="H249" s="8" t="inlineStr">
        <is>
          <t>MS5</t>
        </is>
      </c>
      <c r="I249" s="16" t="n">
        <v>0.2</v>
      </c>
      <c r="J249" s="10">
        <f>Station_BOQ!R11</f>
        <v/>
      </c>
      <c r="K249" s="9">
        <f>I249*62000000*J249</f>
        <v/>
      </c>
      <c r="L249" s="18" t="n">
        <v>0.1463095618857146</v>
      </c>
      <c r="M249" s="9">
        <f>ROUND(K249*L249,0)</f>
        <v/>
      </c>
      <c r="N249" s="9" t="n">
        <v>82767</v>
      </c>
      <c r="O249" s="9">
        <f>N249-M249</f>
        <v/>
      </c>
      <c r="P249" s="8" t="inlineStr">
        <is>
          <t>MS5 Installation 20% x station price share 4.56% | BOQ civil share 36.6% x 40% (poles)</t>
        </is>
      </c>
      <c r="Q249" s="8" t="inlineStr">
        <is>
          <t>Annex 3 A6 Civil works (SAR 659,866)</t>
        </is>
      </c>
      <c r="R249" s="9" t="n">
        <v>219</v>
      </c>
      <c r="S249" s="19">
        <f>R249/1000</f>
        <v/>
      </c>
      <c r="T249" s="20" t="n">
        <v>46793</v>
      </c>
      <c r="U249" s="20" t="n">
        <v>46856</v>
      </c>
      <c r="V249" s="8" t="n">
        <v>41</v>
      </c>
    </row>
    <row r="250">
      <c r="A250" s="8" t="inlineStr">
        <is>
          <t>A1-A5</t>
        </is>
      </c>
      <c r="B250" s="8" t="inlineStr">
        <is>
          <t>A1 to A5 equipment sections: installation share (works included in unit prices)</t>
        </is>
      </c>
      <c r="C250" s="8" t="inlineStr">
        <is>
          <t>EHF-C2010</t>
        </is>
      </c>
      <c r="D250" s="8" t="inlineStr">
        <is>
          <t>Install UPS, network switches and field cabinets - Hufuf</t>
        </is>
      </c>
      <c r="E250" s="8" t="inlineStr">
        <is>
          <t>CON.EHF.INS</t>
        </is>
      </c>
      <c r="F250" s="8" t="inlineStr">
        <is>
          <t>Construction</t>
        </is>
      </c>
      <c r="G250" s="8" t="inlineStr">
        <is>
          <t>EHF</t>
        </is>
      </c>
      <c r="H250" s="8" t="inlineStr">
        <is>
          <t>MS5</t>
        </is>
      </c>
      <c r="I250" s="16" t="n">
        <v>0.2</v>
      </c>
      <c r="J250" s="10">
        <f>Station_BOQ!R11</f>
        <v/>
      </c>
      <c r="K250" s="9">
        <f>I250*62000000*J250</f>
        <v/>
      </c>
      <c r="L250" s="18" t="n">
        <v>0.1268452190571427</v>
      </c>
      <c r="M250" s="9">
        <f>ROUND(K250*L250,0)</f>
        <v/>
      </c>
      <c r="N250" s="9" t="n">
        <v>71756</v>
      </c>
      <c r="O250" s="9">
        <f>N250-M250</f>
        <v/>
      </c>
      <c r="P250" s="8" t="inlineStr">
        <is>
          <t>MS5 Installation 20% x station price share 4.56% | Installation key 20% x (1 - civil share 36.6%)</t>
        </is>
      </c>
      <c r="Q250" s="8" t="inlineStr">
        <is>
          <t>Annex 3 equipment sections A1-A5 (installation share)</t>
        </is>
      </c>
      <c r="R250" s="9" t="n">
        <v>131</v>
      </c>
      <c r="S250" s="19">
        <f>R250/1000</f>
        <v/>
      </c>
      <c r="T250" s="20" t="n">
        <v>46839</v>
      </c>
      <c r="U250" s="20" t="n">
        <v>46853</v>
      </c>
      <c r="V250" s="8" t="n">
        <v>11</v>
      </c>
    </row>
    <row r="251">
      <c r="A251" s="8" t="inlineStr">
        <is>
          <t>A1-A5</t>
        </is>
      </c>
      <c r="B251" s="8" t="inlineStr">
        <is>
          <t>A1 to A5 equipment sections: installation share (works included in unit prices)</t>
        </is>
      </c>
      <c r="C251" s="8" t="inlineStr">
        <is>
          <t>EHF-C2020</t>
        </is>
      </c>
      <c r="D251" s="8" t="inlineStr">
        <is>
          <t>Cabling and termination (power, fibre, data) - Hufuf</t>
        </is>
      </c>
      <c r="E251" s="8" t="inlineStr">
        <is>
          <t>CON.EHF.INS</t>
        </is>
      </c>
      <c r="F251" s="8" t="inlineStr">
        <is>
          <t>Construction</t>
        </is>
      </c>
      <c r="G251" s="8" t="inlineStr">
        <is>
          <t>EHF</t>
        </is>
      </c>
      <c r="H251" s="8" t="inlineStr">
        <is>
          <t>MS5</t>
        </is>
      </c>
      <c r="I251" s="16" t="n">
        <v>0.2</v>
      </c>
      <c r="J251" s="10">
        <f>Station_BOQ!R11</f>
        <v/>
      </c>
      <c r="K251" s="9">
        <f>I251*62000000*J251</f>
        <v/>
      </c>
      <c r="L251" s="18" t="n">
        <v>0.190267828585714</v>
      </c>
      <c r="M251" s="9">
        <f>ROUND(K251*L251,0)</f>
        <v/>
      </c>
      <c r="N251" s="9" t="n">
        <v>107635</v>
      </c>
      <c r="O251" s="9">
        <f>N251-M251</f>
        <v/>
      </c>
      <c r="P251" s="8" t="inlineStr">
        <is>
          <t>MS5 Installation 20% x station price share 4.56% | Installation key 30% x (1 - civil share 36.6%)</t>
        </is>
      </c>
      <c r="Q251" s="8" t="inlineStr">
        <is>
          <t>Annex 3 equipment sections A1-A5 (installation share)</t>
        </is>
      </c>
      <c r="R251" s="9" t="n">
        <v>263</v>
      </c>
      <c r="S251" s="19">
        <f>R251/1000</f>
        <v/>
      </c>
      <c r="T251" s="20" t="n">
        <v>46845</v>
      </c>
      <c r="U251" s="20" t="n">
        <v>46868</v>
      </c>
      <c r="V251" s="8" t="n">
        <v>18</v>
      </c>
    </row>
    <row r="252">
      <c r="A252" s="8" t="inlineStr">
        <is>
          <t>A1-A5</t>
        </is>
      </c>
      <c r="B252" s="8" t="inlineStr">
        <is>
          <t>A1 to A5 equipment sections: installation share (works included in unit prices)</t>
        </is>
      </c>
      <c r="C252" s="8" t="inlineStr">
        <is>
          <t>EHF-C2030</t>
        </is>
      </c>
      <c r="D252" s="8" t="inlineStr">
        <is>
          <t>Install and aim CCTV cameras - Hufuf</t>
        </is>
      </c>
      <c r="E252" s="8" t="inlineStr">
        <is>
          <t>CON.EHF.INS</t>
        </is>
      </c>
      <c r="F252" s="8" t="inlineStr">
        <is>
          <t>Construction</t>
        </is>
      </c>
      <c r="G252" s="8" t="inlineStr">
        <is>
          <t>EHF</t>
        </is>
      </c>
      <c r="H252" s="8" t="inlineStr">
        <is>
          <t>MS5</t>
        </is>
      </c>
      <c r="I252" s="16" t="n">
        <v>0.2</v>
      </c>
      <c r="J252" s="10">
        <f>Station_BOQ!R11</f>
        <v/>
      </c>
      <c r="K252" s="9">
        <f>I252*62000000*J252</f>
        <v/>
      </c>
      <c r="L252" s="18" t="n">
        <v>0.1585565238214284</v>
      </c>
      <c r="M252" s="9">
        <f>ROUND(K252*L252,0)</f>
        <v/>
      </c>
      <c r="N252" s="9" t="n">
        <v>89695</v>
      </c>
      <c r="O252" s="9">
        <f>N252-M252</f>
        <v/>
      </c>
      <c r="P252" s="8" t="inlineStr">
        <is>
          <t>MS5 Installation 20% x station price share 4.56% | Installation key 25% x (1 - civil share 36.6%)</t>
        </is>
      </c>
      <c r="Q252" s="8" t="inlineStr">
        <is>
          <t>Annex 3 equipment sections A1-A5 (installation share)</t>
        </is>
      </c>
      <c r="R252" s="9" t="n">
        <v>219</v>
      </c>
      <c r="S252" s="19">
        <f>R252/1000</f>
        <v/>
      </c>
      <c r="T252" s="20" t="n">
        <v>46869</v>
      </c>
      <c r="U252" s="20" t="n">
        <v>46895</v>
      </c>
      <c r="V252" s="8" t="n">
        <v>14</v>
      </c>
    </row>
    <row r="253">
      <c r="A253" s="8" t="inlineStr">
        <is>
          <t>A1-A5</t>
        </is>
      </c>
      <c r="B253" s="8" t="inlineStr">
        <is>
          <t>A1 to A5 equipment sections: installation share (works included in unit prices)</t>
        </is>
      </c>
      <c r="C253" s="8" t="inlineStr">
        <is>
          <t>EHF-C2040</t>
        </is>
      </c>
      <c r="D253" s="8" t="inlineStr">
        <is>
          <t>Install video management, video wall and control-room equipment - Hufuf</t>
        </is>
      </c>
      <c r="E253" s="8" t="inlineStr">
        <is>
          <t>CON.EHF.INS</t>
        </is>
      </c>
      <c r="F253" s="8" t="inlineStr">
        <is>
          <t>Construction</t>
        </is>
      </c>
      <c r="G253" s="8" t="inlineStr">
        <is>
          <t>EHF</t>
        </is>
      </c>
      <c r="H253" s="8" t="inlineStr">
        <is>
          <t>MS5</t>
        </is>
      </c>
      <c r="I253" s="16" t="n">
        <v>0.2</v>
      </c>
      <c r="J253" s="10">
        <f>Station_BOQ!R11</f>
        <v/>
      </c>
      <c r="K253" s="9">
        <f>I253*62000000*J253</f>
        <v/>
      </c>
      <c r="L253" s="18" t="n">
        <v>0.09513391429285702</v>
      </c>
      <c r="M253" s="9">
        <f>ROUND(K253*L253,0)</f>
        <v/>
      </c>
      <c r="N253" s="9" t="n">
        <v>53817</v>
      </c>
      <c r="O253" s="9">
        <f>N253-M253</f>
        <v/>
      </c>
      <c r="P253" s="8" t="inlineStr">
        <is>
          <t>MS5 Installation 20% x station price share 4.56% | Installation key 15% x (1 - civil share 36.6%)</t>
        </is>
      </c>
      <c r="Q253" s="8" t="inlineStr">
        <is>
          <t>Annex 3 equipment sections A1-A5 (installation share)</t>
        </is>
      </c>
      <c r="R253" s="9" t="n">
        <v>131</v>
      </c>
      <c r="S253" s="19">
        <f>R253/1000</f>
        <v/>
      </c>
      <c r="T253" s="20" t="n">
        <v>46854</v>
      </c>
      <c r="U253" s="20" t="n">
        <v>46869</v>
      </c>
      <c r="V253" s="8" t="n">
        <v>12</v>
      </c>
    </row>
    <row r="254">
      <c r="A254" s="8" t="inlineStr">
        <is>
          <t>A1-A5</t>
        </is>
      </c>
      <c r="B254" s="8" t="inlineStr">
        <is>
          <t>A1 to A5 equipment sections: installation share (works included in unit prices)</t>
        </is>
      </c>
      <c r="C254" s="8" t="inlineStr">
        <is>
          <t>EHF-C2050</t>
        </is>
      </c>
      <c r="D254" s="8" t="inlineStr">
        <is>
          <t>Install access control and intercom - Hufuf</t>
        </is>
      </c>
      <c r="E254" s="8" t="inlineStr">
        <is>
          <t>CON.EHF.INS</t>
        </is>
      </c>
      <c r="F254" s="8" t="inlineStr">
        <is>
          <t>Construction</t>
        </is>
      </c>
      <c r="G254" s="8" t="inlineStr">
        <is>
          <t>EHF</t>
        </is>
      </c>
      <c r="H254" s="8" t="inlineStr">
        <is>
          <t>MS5</t>
        </is>
      </c>
      <c r="I254" s="16" t="n">
        <v>0.2</v>
      </c>
      <c r="J254" s="10">
        <f>Station_BOQ!R11</f>
        <v/>
      </c>
      <c r="K254" s="9">
        <f>I254*62000000*J254</f>
        <v/>
      </c>
      <c r="L254" s="18" t="n">
        <v>0.06342260952857136</v>
      </c>
      <c r="M254" s="9">
        <f>ROUND(K254*L254,0)</f>
        <v/>
      </c>
      <c r="N254" s="9" t="n">
        <v>35878</v>
      </c>
      <c r="O254" s="9">
        <f>N254-M254</f>
        <v/>
      </c>
      <c r="P254" s="8" t="inlineStr">
        <is>
          <t>MS5 Installation 20% x station price share 4.56% | Installation key 10% x (1 - civil share 36.6%)</t>
        </is>
      </c>
      <c r="Q254" s="8" t="inlineStr">
        <is>
          <t>Annex 3 equipment sections A1-A5 (installation share)</t>
        </is>
      </c>
      <c r="R254" s="9" t="n">
        <v>88</v>
      </c>
      <c r="S254" s="19">
        <f>R254/1000</f>
        <v/>
      </c>
      <c r="T254" s="20" t="n">
        <v>46860</v>
      </c>
      <c r="U254" s="20" t="n">
        <v>46881</v>
      </c>
      <c r="V254" s="8" t="n">
        <v>11</v>
      </c>
    </row>
    <row r="255">
      <c r="A255" s="8" t="inlineStr">
        <is>
          <t>A1-A5</t>
        </is>
      </c>
      <c r="B255" s="8" t="inlineStr">
        <is>
          <t>A1 to A5 equipment sections: testing and commissioning share</t>
        </is>
      </c>
      <c r="C255" s="8" t="inlineStr">
        <is>
          <t>EHF-T1010</t>
        </is>
      </c>
      <c r="D255" s="8" t="inlineStr">
        <is>
          <t>Pre-commissioning and loop checks - Hufuf</t>
        </is>
      </c>
      <c r="E255" s="8" t="inlineStr">
        <is>
          <t>COM.EHF.TST</t>
        </is>
      </c>
      <c r="F255" s="8" t="inlineStr">
        <is>
          <t>Commissioning and handover</t>
        </is>
      </c>
      <c r="G255" s="8" t="inlineStr">
        <is>
          <t>EHF</t>
        </is>
      </c>
      <c r="H255" s="8" t="inlineStr">
        <is>
          <t>MS6</t>
        </is>
      </c>
      <c r="I255" s="16" t="n">
        <v>0.1</v>
      </c>
      <c r="J255" s="10">
        <f>Station_BOQ!R11</f>
        <v/>
      </c>
      <c r="K255" s="9">
        <f>I255*62000000*J255</f>
        <v/>
      </c>
      <c r="L255" s="18" t="n">
        <v>0.4</v>
      </c>
      <c r="M255" s="9">
        <f>ROUND(K255*L255,0)</f>
        <v/>
      </c>
      <c r="N255" s="9" t="n">
        <v>113140</v>
      </c>
      <c r="O255" s="9">
        <f>N255-M255</f>
        <v/>
      </c>
      <c r="P255" s="8" t="inlineStr">
        <is>
          <t>MS6 Testing and commissioning (SAT) 10% x station price share 4.56% | Fixed key 40% of SAT milestone</t>
        </is>
      </c>
      <c r="Q255" s="8" t="inlineStr">
        <is>
          <t>Annex 3 equipment sections A1-A5 (testing share)</t>
        </is>
      </c>
      <c r="R255" s="9" t="n">
        <v>131</v>
      </c>
      <c r="S255" s="19">
        <f>R255/1000</f>
        <v/>
      </c>
      <c r="T255" s="20" t="n">
        <v>46896</v>
      </c>
      <c r="U255" s="20" t="n">
        <v>46902</v>
      </c>
      <c r="V255" s="8" t="n">
        <v>5</v>
      </c>
    </row>
    <row r="256">
      <c r="A256" s="8" t="inlineStr">
        <is>
          <t>A1-A5</t>
        </is>
      </c>
      <c r="B256" s="8" t="inlineStr">
        <is>
          <t>A1 to A5 equipment sections: testing and commissioning share</t>
        </is>
      </c>
      <c r="C256" s="8" t="inlineStr">
        <is>
          <t>EHF-T1020</t>
        </is>
      </c>
      <c r="D256" s="8" t="inlineStr">
        <is>
          <t>Site acceptance test (SAT) and commissioning - Hufuf</t>
        </is>
      </c>
      <c r="E256" s="8" t="inlineStr">
        <is>
          <t>COM.EHF.TST</t>
        </is>
      </c>
      <c r="F256" s="8" t="inlineStr">
        <is>
          <t>Commissioning and handover</t>
        </is>
      </c>
      <c r="G256" s="8" t="inlineStr">
        <is>
          <t>EHF</t>
        </is>
      </c>
      <c r="H256" s="8" t="inlineStr">
        <is>
          <t>MS6</t>
        </is>
      </c>
      <c r="I256" s="16" t="n">
        <v>0.1</v>
      </c>
      <c r="J256" s="10">
        <f>Station_BOQ!R11</f>
        <v/>
      </c>
      <c r="K256" s="9">
        <f>I256*62000000*J256</f>
        <v/>
      </c>
      <c r="L256" s="18" t="n">
        <v>0.6</v>
      </c>
      <c r="M256" s="9">
        <f>ROUND(K256*L256,0)</f>
        <v/>
      </c>
      <c r="N256" s="9" t="n">
        <v>169710</v>
      </c>
      <c r="O256" s="9">
        <f>N256-M256</f>
        <v/>
      </c>
      <c r="P256" s="8" t="inlineStr">
        <is>
          <t>MS6 Testing and commissioning (SAT) 10% x station price share 4.56% | Fixed key 60% of SAT milestone</t>
        </is>
      </c>
      <c r="Q256" s="8" t="inlineStr">
        <is>
          <t>Annex 3 equipment sections A1-A5 (testing share)</t>
        </is>
      </c>
      <c r="R256" s="9" t="n">
        <v>175</v>
      </c>
      <c r="S256" s="19">
        <f>R256/1000</f>
        <v/>
      </c>
      <c r="T256" s="20" t="n">
        <v>46903</v>
      </c>
      <c r="U256" s="20" t="n">
        <v>46911</v>
      </c>
      <c r="V256" s="8" t="n">
        <v>7</v>
      </c>
    </row>
    <row r="257">
      <c r="A257" s="8" t="inlineStr">
        <is>
          <t>SH-TRN</t>
        </is>
      </c>
      <c r="B257" s="8" t="inlineStr">
        <is>
          <t>Training (per railway, allocated)</t>
        </is>
      </c>
      <c r="C257" s="8" t="inlineStr">
        <is>
          <t>EHF-T2010</t>
        </is>
      </c>
      <c r="D257" s="8" t="inlineStr">
        <is>
          <t>Operator and maintenance training - Hufuf</t>
        </is>
      </c>
      <c r="E257" s="8" t="inlineStr">
        <is>
          <t>COM.EHF.TRN</t>
        </is>
      </c>
      <c r="F257" s="8" t="inlineStr">
        <is>
          <t>Commissioning and handover</t>
        </is>
      </c>
      <c r="G257" s="8" t="inlineStr">
        <is>
          <t>EHF</t>
        </is>
      </c>
      <c r="H257" s="8" t="inlineStr">
        <is>
          <t>MS7</t>
        </is>
      </c>
      <c r="I257" s="16" t="n">
        <v>0.1</v>
      </c>
      <c r="J257" s="10">
        <f>Station_BOQ!R11</f>
        <v/>
      </c>
      <c r="K257" s="9">
        <f>I257*62000000*J257</f>
        <v/>
      </c>
      <c r="L257" s="18" t="n">
        <v>0.15</v>
      </c>
      <c r="M257" s="9">
        <f>ROUND(K257*L257,0)</f>
        <v/>
      </c>
      <c r="N257" s="9" t="n">
        <v>42428</v>
      </c>
      <c r="O257" s="9">
        <f>N257-M257</f>
        <v/>
      </c>
      <c r="P257" s="8" t="inlineStr">
        <is>
          <t>MS7 Final acceptance and handover 10% x station price share 4.56% | Fixed key 15%</t>
        </is>
      </c>
      <c r="Q257" s="8" t="inlineStr">
        <is>
          <t>Annex 3 Training (railway), allocated by hardware share</t>
        </is>
      </c>
      <c r="R257" s="9" t="n">
        <v>88</v>
      </c>
      <c r="S257" s="19">
        <f>R257/1000</f>
        <v/>
      </c>
      <c r="T257" s="20" t="n">
        <v>46912</v>
      </c>
      <c r="U257" s="20" t="n">
        <v>46925</v>
      </c>
      <c r="V257" s="8" t="n">
        <v>10</v>
      </c>
    </row>
    <row r="258">
      <c r="A258" s="8" t="inlineStr">
        <is>
          <t>A1-A5</t>
        </is>
      </c>
      <c r="B258" s="8" t="inlineStr">
        <is>
          <t>A1 to A5 equipment sections: trial operation share</t>
        </is>
      </c>
      <c r="C258" s="8" t="inlineStr">
        <is>
          <t>EHF-T2020</t>
        </is>
      </c>
      <c r="D258" s="8" t="inlineStr">
        <is>
          <t>Trial operation (maximum 45 days) - Hufuf</t>
        </is>
      </c>
      <c r="E258" s="8" t="inlineStr">
        <is>
          <t>COM.EHF.TOA</t>
        </is>
      </c>
      <c r="F258" s="8" t="inlineStr">
        <is>
          <t>Commissioning and handover</t>
        </is>
      </c>
      <c r="G258" s="8" t="inlineStr">
        <is>
          <t>EHF</t>
        </is>
      </c>
      <c r="H258" s="8" t="inlineStr">
        <is>
          <t>MS7</t>
        </is>
      </c>
      <c r="I258" s="16" t="n">
        <v>0.1</v>
      </c>
      <c r="J258" s="10">
        <f>Station_BOQ!R11</f>
        <v/>
      </c>
      <c r="K258" s="9">
        <f>I258*62000000*J258</f>
        <v/>
      </c>
      <c r="L258" s="18" t="n">
        <v>0.35</v>
      </c>
      <c r="M258" s="9">
        <f>ROUND(K258*L258,0)</f>
        <v/>
      </c>
      <c r="N258" s="9" t="n">
        <v>98998</v>
      </c>
      <c r="O258" s="9">
        <f>N258-M258</f>
        <v/>
      </c>
      <c r="P258" s="8" t="inlineStr">
        <is>
          <t>MS7 Final acceptance and handover 10% x station price share 4.56% | Fixed key 35%</t>
        </is>
      </c>
      <c r="Q258" s="8" t="inlineStr">
        <is>
          <t>Annex 3 equipment sections A1-A5 (trial operation share)</t>
        </is>
      </c>
      <c r="R258" s="9" t="n">
        <v>131</v>
      </c>
      <c r="S258" s="19">
        <f>R258/1000</f>
        <v/>
      </c>
      <c r="T258" s="20" t="n">
        <v>46912</v>
      </c>
      <c r="U258" s="20" t="n">
        <v>46953</v>
      </c>
      <c r="V258" s="8" t="n">
        <v>30</v>
      </c>
    </row>
    <row r="259">
      <c r="A259" s="8" t="inlineStr">
        <is>
          <t>A1-A5</t>
        </is>
      </c>
      <c r="B259" s="8" t="inlineStr">
        <is>
          <t>A1 to A5 equipment sections: handover share</t>
        </is>
      </c>
      <c r="C259" s="8" t="inlineStr">
        <is>
          <t>EHF-T3010</t>
        </is>
      </c>
      <c r="D259" s="8" t="inlineStr">
        <is>
          <t>Taking-over application, SAR review and handover - Hufuf</t>
        </is>
      </c>
      <c r="E259" s="8" t="inlineStr">
        <is>
          <t>COM.EHF.TOA</t>
        </is>
      </c>
      <c r="F259" s="8" t="inlineStr">
        <is>
          <t>Commissioning and handover</t>
        </is>
      </c>
      <c r="G259" s="8" t="inlineStr">
        <is>
          <t>EHF</t>
        </is>
      </c>
      <c r="H259" s="8" t="inlineStr">
        <is>
          <t>MS7</t>
        </is>
      </c>
      <c r="I259" s="16" t="n">
        <v>0.1</v>
      </c>
      <c r="J259" s="10">
        <f>Station_BOQ!R11</f>
        <v/>
      </c>
      <c r="K259" s="9">
        <f>I259*62000000*J259</f>
        <v/>
      </c>
      <c r="L259" s="18" t="n">
        <v>0.3</v>
      </c>
      <c r="M259" s="9">
        <f>ROUND(K259*L259,0)</f>
        <v/>
      </c>
      <c r="N259" s="9" t="n">
        <v>84855</v>
      </c>
      <c r="O259" s="9">
        <f>N259-M259</f>
        <v/>
      </c>
      <c r="P259" s="8" t="inlineStr">
        <is>
          <t>MS7 Final acceptance and handover 10% x station price share 4.56% | Fixed key 30%</t>
        </is>
      </c>
      <c r="Q259" s="8" t="inlineStr">
        <is>
          <t>Annex 3 equipment sections A1-A5 (handover share)</t>
        </is>
      </c>
      <c r="R259" s="9" t="n">
        <v>131</v>
      </c>
      <c r="S259" s="19">
        <f>R259/1000</f>
        <v/>
      </c>
      <c r="T259" s="20" t="n">
        <v>46954</v>
      </c>
      <c r="U259" s="20" t="n">
        <v>46985</v>
      </c>
      <c r="V259" s="8" t="n">
        <v>22</v>
      </c>
    </row>
    <row r="260">
      <c r="A260" s="8" t="inlineStr">
        <is>
          <t>SH-DES</t>
        </is>
      </c>
      <c r="B260" s="8" t="inlineStr">
        <is>
          <t>Design and engineering package (per railway, allocated to the station)</t>
        </is>
      </c>
      <c r="C260" s="8" t="inlineStr">
        <is>
          <t>NMJ-E1010</t>
        </is>
      </c>
      <c r="D260" s="8" t="inlineStr">
        <is>
          <t>Survey: submittal of site survey and as-found report - Al Majma'ah</t>
        </is>
      </c>
      <c r="E260" s="8" t="inlineStr">
        <is>
          <t>ENG.NMJ.SRV.SUB</t>
        </is>
      </c>
      <c r="F260" s="8" t="inlineStr">
        <is>
          <t>Engineering</t>
        </is>
      </c>
      <c r="G260" s="8" t="inlineStr">
        <is>
          <t>NMJ</t>
        </is>
      </c>
      <c r="H260" s="8" t="inlineStr">
        <is>
          <t>MS2</t>
        </is>
      </c>
      <c r="I260" s="16" t="n">
        <v>0.1</v>
      </c>
      <c r="J260" s="10">
        <f>Station_BOQ!R12</f>
        <v/>
      </c>
      <c r="K260" s="9">
        <f>I260*62000000*J260</f>
        <v/>
      </c>
      <c r="L260" s="18" t="n">
        <v>0.06900000000000001</v>
      </c>
      <c r="M260" s="9">
        <f>ROUND(K260*L260,0)</f>
        <v/>
      </c>
      <c r="N260" s="9" t="n">
        <v>23453</v>
      </c>
      <c r="O260" s="9">
        <f>N260-M260</f>
        <v/>
      </c>
      <c r="P260" s="8" t="inlineStr">
        <is>
          <t>MS2 Engineering submittal 10% x station price share 5.48% | Design stage key 6.9% of the engineering-submittal milestone</t>
        </is>
      </c>
      <c r="Q260" s="8" t="inlineStr">
        <is>
          <t>Annex 3 Design and engineering package (railway) allocated by station hardware share</t>
        </is>
      </c>
      <c r="R260" s="9" t="n">
        <v>30</v>
      </c>
      <c r="S260" s="19">
        <f>R260/1000</f>
        <v/>
      </c>
      <c r="T260" s="20" t="n">
        <v>46650</v>
      </c>
      <c r="U260" s="20" t="n">
        <v>46660</v>
      </c>
      <c r="V260" s="8" t="n">
        <v>8</v>
      </c>
    </row>
    <row r="261">
      <c r="A261" s="8" t="inlineStr">
        <is>
          <t>SH-DES</t>
        </is>
      </c>
      <c r="B261" s="8" t="inlineStr">
        <is>
          <t>Design and engineering package (per railway, allocated to the station)</t>
        </is>
      </c>
      <c r="C261" s="8" t="inlineStr">
        <is>
          <t>NMJ-E1020</t>
        </is>
      </c>
      <c r="D261" s="8" t="inlineStr">
        <is>
          <t>Survey: SAR approval of survey report - Al Majma'ah</t>
        </is>
      </c>
      <c r="E261" s="8" t="inlineStr">
        <is>
          <t>ENG.NMJ.SRV.APR</t>
        </is>
      </c>
      <c r="F261" s="8" t="inlineStr">
        <is>
          <t>Engineering</t>
        </is>
      </c>
      <c r="G261" s="8" t="inlineStr">
        <is>
          <t>NMJ</t>
        </is>
      </c>
      <c r="H261" s="8" t="inlineStr">
        <is>
          <t>MS3</t>
        </is>
      </c>
      <c r="I261" s="16" t="n">
        <v>0.1</v>
      </c>
      <c r="J261" s="10">
        <f>Station_BOQ!R12</f>
        <v/>
      </c>
      <c r="K261" s="9">
        <f>I261*62000000*J261</f>
        <v/>
      </c>
      <c r="L261" s="18" t="n">
        <v>0.05</v>
      </c>
      <c r="M261" s="9">
        <f>ROUND(K261*L261,0)</f>
        <v/>
      </c>
      <c r="N261" s="9" t="n">
        <v>16995</v>
      </c>
      <c r="O261" s="9">
        <f>N261-M261</f>
        <v/>
      </c>
      <c r="P261" s="8" t="inlineStr">
        <is>
          <t>MS3 SAR approval of engineering 10% x station price share 5.48% | Design stage key 5.0% of the SAR-approval milestone</t>
        </is>
      </c>
      <c r="Q261" s="8" t="inlineStr">
        <is>
          <t>Annex 3 Design and engineering package (railway) allocated by station hardware share</t>
        </is>
      </c>
      <c r="R261" s="9" t="n">
        <v>32</v>
      </c>
      <c r="S261" s="19">
        <f>R261/1000</f>
        <v/>
      </c>
      <c r="T261" s="20" t="n">
        <v>46663</v>
      </c>
      <c r="U261" s="20" t="n">
        <v>46681</v>
      </c>
      <c r="V261" s="8" t="n">
        <v>15</v>
      </c>
    </row>
    <row r="262">
      <c r="A262" s="8" t="inlineStr">
        <is>
          <t>SH-DES</t>
        </is>
      </c>
      <c r="B262" s="8" t="inlineStr">
        <is>
          <t>Design and engineering package (per railway, allocated to the station)</t>
        </is>
      </c>
      <c r="C262" s="8" t="inlineStr">
        <is>
          <t>NMJ-E1030</t>
        </is>
      </c>
      <c r="D262" s="8" t="inlineStr">
        <is>
          <t>Concept design: submittal - Al Majma'ah</t>
        </is>
      </c>
      <c r="E262" s="8" t="inlineStr">
        <is>
          <t>ENG.NMJ.CNC.SUB</t>
        </is>
      </c>
      <c r="F262" s="8" t="inlineStr">
        <is>
          <t>Engineering</t>
        </is>
      </c>
      <c r="G262" s="8" t="inlineStr">
        <is>
          <t>NMJ</t>
        </is>
      </c>
      <c r="H262" s="8" t="inlineStr">
        <is>
          <t>MS2</t>
        </is>
      </c>
      <c r="I262" s="16" t="n">
        <v>0.1</v>
      </c>
      <c r="J262" s="10">
        <f>Station_BOQ!R12</f>
        <v/>
      </c>
      <c r="K262" s="9">
        <f>I262*62000000*J262</f>
        <v/>
      </c>
      <c r="L262" s="18" t="n">
        <v>0.098</v>
      </c>
      <c r="M262" s="9">
        <f>ROUND(K262*L262,0)</f>
        <v/>
      </c>
      <c r="N262" s="9" t="n">
        <v>33309</v>
      </c>
      <c r="O262" s="9">
        <f>N262-M262</f>
        <v/>
      </c>
      <c r="P262" s="8" t="inlineStr">
        <is>
          <t>MS2 Engineering submittal 10% x station price share 5.48% | Design stage key 9.8% of the engineering-submittal milestone</t>
        </is>
      </c>
      <c r="Q262" s="8" t="inlineStr">
        <is>
          <t>Annex 3 Design and engineering package (railway) allocated by station hardware share</t>
        </is>
      </c>
      <c r="R262" s="9" t="n">
        <v>25</v>
      </c>
      <c r="S262" s="19">
        <f>R262/1000</f>
        <v/>
      </c>
      <c r="T262" s="20" t="n">
        <v>46663</v>
      </c>
      <c r="U262" s="20" t="n">
        <v>46674</v>
      </c>
      <c r="V262" s="8" t="n">
        <v>10</v>
      </c>
    </row>
    <row r="263">
      <c r="A263" s="8" t="inlineStr">
        <is>
          <t>SH-DES</t>
        </is>
      </c>
      <c r="B263" s="8" t="inlineStr">
        <is>
          <t>Design and engineering package (per railway, allocated to the station)</t>
        </is>
      </c>
      <c r="C263" s="8" t="inlineStr">
        <is>
          <t>NMJ-E1040</t>
        </is>
      </c>
      <c r="D263" s="8" t="inlineStr">
        <is>
          <t>Concept design: SAR review and approval - Al Majma'ah</t>
        </is>
      </c>
      <c r="E263" s="8" t="inlineStr">
        <is>
          <t>ENG.NMJ.CNC.APR</t>
        </is>
      </c>
      <c r="F263" s="8" t="inlineStr">
        <is>
          <t>Engineering</t>
        </is>
      </c>
      <c r="G263" s="8" t="inlineStr">
        <is>
          <t>NMJ</t>
        </is>
      </c>
      <c r="H263" s="8" t="inlineStr">
        <is>
          <t>MS3</t>
        </is>
      </c>
      <c r="I263" s="16" t="n">
        <v>0.1</v>
      </c>
      <c r="J263" s="10">
        <f>Station_BOQ!R12</f>
        <v/>
      </c>
      <c r="K263" s="9">
        <f>I263*62000000*J263</f>
        <v/>
      </c>
      <c r="L263" s="18" t="n">
        <v>0.1</v>
      </c>
      <c r="M263" s="9">
        <f>ROUND(K263*L263,0)</f>
        <v/>
      </c>
      <c r="N263" s="9" t="n">
        <v>33989</v>
      </c>
      <c r="O263" s="9">
        <f>N263-M263</f>
        <v/>
      </c>
      <c r="P263" s="8" t="inlineStr">
        <is>
          <t>MS3 SAR approval of engineering 10% x station price share 5.48% | Design stage key 10.0% of the SAR-approval milestone</t>
        </is>
      </c>
      <c r="Q263" s="8" t="inlineStr">
        <is>
          <t>Annex 3 Design and engineering package (railway) allocated by station hardware share</t>
        </is>
      </c>
      <c r="R263" s="9" t="n">
        <v>37</v>
      </c>
      <c r="S263" s="19">
        <f>R263/1000</f>
        <v/>
      </c>
      <c r="T263" s="20" t="n">
        <v>46677</v>
      </c>
      <c r="U263" s="20" t="n">
        <v>46695</v>
      </c>
      <c r="V263" s="8" t="n">
        <v>15</v>
      </c>
    </row>
    <row r="264">
      <c r="A264" s="8" t="inlineStr">
        <is>
          <t>SH-DES</t>
        </is>
      </c>
      <c r="B264" s="8" t="inlineStr">
        <is>
          <t>Design and engineering package (per railway, allocated to the station)</t>
        </is>
      </c>
      <c r="C264" s="8" t="inlineStr">
        <is>
          <t>NMJ-E1050</t>
        </is>
      </c>
      <c r="D264" s="8" t="inlineStr">
        <is>
          <t>Preliminary design: submittal - Al Majma'ah</t>
        </is>
      </c>
      <c r="E264" s="8" t="inlineStr">
        <is>
          <t>ENG.NMJ.PRE.SUB</t>
        </is>
      </c>
      <c r="F264" s="8" t="inlineStr">
        <is>
          <t>Engineering</t>
        </is>
      </c>
      <c r="G264" s="8" t="inlineStr">
        <is>
          <t>NMJ</t>
        </is>
      </c>
      <c r="H264" s="8" t="inlineStr">
        <is>
          <t>MS2</t>
        </is>
      </c>
      <c r="I264" s="16" t="n">
        <v>0.1</v>
      </c>
      <c r="J264" s="10">
        <f>Station_BOQ!R12</f>
        <v/>
      </c>
      <c r="K264" s="9">
        <f>I264*62000000*J264</f>
        <v/>
      </c>
      <c r="L264" s="18" t="n">
        <v>0.196</v>
      </c>
      <c r="M264" s="9">
        <f>ROUND(K264*L264,0)</f>
        <v/>
      </c>
      <c r="N264" s="9" t="n">
        <v>66619</v>
      </c>
      <c r="O264" s="9">
        <f>N264-M264</f>
        <v/>
      </c>
      <c r="P264" s="8" t="inlineStr">
        <is>
          <t>MS2 Engineering submittal 10% x station price share 5.48% | Design stage key 19.6% of the engineering-submittal milestone</t>
        </is>
      </c>
      <c r="Q264" s="8" t="inlineStr">
        <is>
          <t>Annex 3 Design and engineering package (railway) allocated by station hardware share</t>
        </is>
      </c>
      <c r="R264" s="9" t="n">
        <v>57</v>
      </c>
      <c r="S264" s="19">
        <f>R264/1000</f>
        <v/>
      </c>
      <c r="T264" s="20" t="n">
        <v>46677</v>
      </c>
      <c r="U264" s="20" t="n">
        <v>46698</v>
      </c>
      <c r="V264" s="8" t="n">
        <v>16</v>
      </c>
    </row>
    <row r="265">
      <c r="A265" s="8" t="inlineStr">
        <is>
          <t>SH-DES</t>
        </is>
      </c>
      <c r="B265" s="8" t="inlineStr">
        <is>
          <t>Design and engineering package (per railway, allocated to the station)</t>
        </is>
      </c>
      <c r="C265" s="8" t="inlineStr">
        <is>
          <t>NMJ-E1060</t>
        </is>
      </c>
      <c r="D265" s="8" t="inlineStr">
        <is>
          <t>Preliminary design: SAR review and approval - Al Majma'ah</t>
        </is>
      </c>
      <c r="E265" s="8" t="inlineStr">
        <is>
          <t>ENG.NMJ.PRE.APR</t>
        </is>
      </c>
      <c r="F265" s="8" t="inlineStr">
        <is>
          <t>Engineering</t>
        </is>
      </c>
      <c r="G265" s="8" t="inlineStr">
        <is>
          <t>NMJ</t>
        </is>
      </c>
      <c r="H265" s="8" t="inlineStr">
        <is>
          <t>MS3</t>
        </is>
      </c>
      <c r="I265" s="16" t="n">
        <v>0.1</v>
      </c>
      <c r="J265" s="10">
        <f>Station_BOQ!R12</f>
        <v/>
      </c>
      <c r="K265" s="9">
        <f>I265*62000000*J265</f>
        <v/>
      </c>
      <c r="L265" s="18" t="n">
        <v>0.2</v>
      </c>
      <c r="M265" s="9">
        <f>ROUND(K265*L265,0)</f>
        <v/>
      </c>
      <c r="N265" s="9" t="n">
        <v>67978</v>
      </c>
      <c r="O265" s="9">
        <f>N265-M265</f>
        <v/>
      </c>
      <c r="P265" s="8" t="inlineStr">
        <is>
          <t>MS3 SAR approval of engineering 10% x station price share 5.48% | Design stage key 20.0% of the SAR-approval milestone</t>
        </is>
      </c>
      <c r="Q265" s="8" t="inlineStr">
        <is>
          <t>Annex 3 Design and engineering package (railway) allocated by station hardware share</t>
        </is>
      </c>
      <c r="R265" s="9" t="n">
        <v>54</v>
      </c>
      <c r="S265" s="19">
        <f>R265/1000</f>
        <v/>
      </c>
      <c r="T265" s="20" t="n">
        <v>46699</v>
      </c>
      <c r="U265" s="20" t="n">
        <v>46719</v>
      </c>
      <c r="V265" s="8" t="n">
        <v>15</v>
      </c>
    </row>
    <row r="266">
      <c r="A266" s="8" t="inlineStr">
        <is>
          <t>SH-DES</t>
        </is>
      </c>
      <c r="B266" s="8" t="inlineStr">
        <is>
          <t>Design and engineering package (per railway, allocated to the station)</t>
        </is>
      </c>
      <c r="C266" s="8" t="inlineStr">
        <is>
          <t>NMJ-E1070</t>
        </is>
      </c>
      <c r="D266" s="8" t="inlineStr">
        <is>
          <t>Detailed design: submittal (drawings, BOQ, data sheets) - Al Majma'ah</t>
        </is>
      </c>
      <c r="E266" s="8" t="inlineStr">
        <is>
          <t>ENG.NMJ.DET.SUB</t>
        </is>
      </c>
      <c r="F266" s="8" t="inlineStr">
        <is>
          <t>Engineering</t>
        </is>
      </c>
      <c r="G266" s="8" t="inlineStr">
        <is>
          <t>NMJ</t>
        </is>
      </c>
      <c r="H266" s="8" t="inlineStr">
        <is>
          <t>MS2</t>
        </is>
      </c>
      <c r="I266" s="16" t="n">
        <v>0.1</v>
      </c>
      <c r="J266" s="10">
        <f>Station_BOQ!R12</f>
        <v/>
      </c>
      <c r="K266" s="9">
        <f>I266*62000000*J266</f>
        <v/>
      </c>
      <c r="L266" s="18" t="n">
        <v>0.392</v>
      </c>
      <c r="M266" s="9">
        <f>ROUND(K266*L266,0)</f>
        <v/>
      </c>
      <c r="N266" s="9" t="n">
        <v>133238</v>
      </c>
      <c r="O266" s="9">
        <f>N266-M266</f>
        <v/>
      </c>
      <c r="P266" s="8" t="inlineStr">
        <is>
          <t>MS2 Engineering submittal 10% x station price share 5.48% | Design stage key 39.2% of the engineering-submittal milestone</t>
        </is>
      </c>
      <c r="Q266" s="8" t="inlineStr">
        <is>
          <t>Annex 3 Design and engineering package (railway) allocated by station hardware share</t>
        </is>
      </c>
      <c r="R266" s="9" t="n">
        <v>118</v>
      </c>
      <c r="S266" s="19">
        <f>R266/1000</f>
        <v/>
      </c>
      <c r="T266" s="20" t="n">
        <v>46699</v>
      </c>
      <c r="U266" s="20" t="n">
        <v>46734</v>
      </c>
      <c r="V266" s="8" t="n">
        <v>26</v>
      </c>
    </row>
    <row r="267">
      <c r="A267" s="8" t="inlineStr">
        <is>
          <t>SH-DES</t>
        </is>
      </c>
      <c r="B267" s="8" t="inlineStr">
        <is>
          <t>Design and engineering package (per railway, allocated to the station)</t>
        </is>
      </c>
      <c r="C267" s="8" t="inlineStr">
        <is>
          <t>NMJ-E1080</t>
        </is>
      </c>
      <c r="D267" s="8" t="inlineStr">
        <is>
          <t>Detailed design: SAR review and approval - Al Majma'ah</t>
        </is>
      </c>
      <c r="E267" s="8" t="inlineStr">
        <is>
          <t>ENG.NMJ.DET.APR</t>
        </is>
      </c>
      <c r="F267" s="8" t="inlineStr">
        <is>
          <t>Engineering</t>
        </is>
      </c>
      <c r="G267" s="8" t="inlineStr">
        <is>
          <t>NMJ</t>
        </is>
      </c>
      <c r="H267" s="8" t="inlineStr">
        <is>
          <t>MS3</t>
        </is>
      </c>
      <c r="I267" s="16" t="n">
        <v>0.1</v>
      </c>
      <c r="J267" s="10">
        <f>Station_BOQ!R12</f>
        <v/>
      </c>
      <c r="K267" s="9">
        <f>I267*62000000*J267</f>
        <v/>
      </c>
      <c r="L267" s="18" t="n">
        <v>0.4</v>
      </c>
      <c r="M267" s="9">
        <f>ROUND(K267*L267,0)</f>
        <v/>
      </c>
      <c r="N267" s="9" t="n">
        <v>135957</v>
      </c>
      <c r="O267" s="9">
        <f>N267-M267</f>
        <v/>
      </c>
      <c r="P267" s="8" t="inlineStr">
        <is>
          <t>MS3 SAR approval of engineering 10% x station price share 5.48% | Design stage key 40.0% of the SAR-approval milestone</t>
        </is>
      </c>
      <c r="Q267" s="8" t="inlineStr">
        <is>
          <t>Annex 3 Design and engineering package (railway) allocated by station hardware share</t>
        </is>
      </c>
      <c r="R267" s="9" t="n">
        <v>68</v>
      </c>
      <c r="S267" s="19">
        <f>R267/1000</f>
        <v/>
      </c>
      <c r="T267" s="20" t="n">
        <v>46735</v>
      </c>
      <c r="U267" s="20" t="n">
        <v>46755</v>
      </c>
      <c r="V267" s="8" t="n">
        <v>15</v>
      </c>
    </row>
    <row r="268">
      <c r="A268" s="8" t="inlineStr">
        <is>
          <t>SH-DES</t>
        </is>
      </c>
      <c r="B268" s="8" t="inlineStr">
        <is>
          <t>Design and engineering package (per railway, allocated to the station)</t>
        </is>
      </c>
      <c r="C268" s="8" t="inlineStr">
        <is>
          <t>NMJ-E1090</t>
        </is>
      </c>
      <c r="D268" s="8" t="inlineStr">
        <is>
          <t>IFC and shop drawings: submittal - Al Majma'ah</t>
        </is>
      </c>
      <c r="E268" s="8" t="inlineStr">
        <is>
          <t>ENG.NMJ.IFC.SUB</t>
        </is>
      </c>
      <c r="F268" s="8" t="inlineStr">
        <is>
          <t>Engineering</t>
        </is>
      </c>
      <c r="G268" s="8" t="inlineStr">
        <is>
          <t>NMJ</t>
        </is>
      </c>
      <c r="H268" s="8" t="inlineStr">
        <is>
          <t>MS2</t>
        </is>
      </c>
      <c r="I268" s="16" t="n">
        <v>0.1</v>
      </c>
      <c r="J268" s="10">
        <f>Station_BOQ!R12</f>
        <v/>
      </c>
      <c r="K268" s="9">
        <f>I268*62000000*J268</f>
        <v/>
      </c>
      <c r="L268" s="18" t="n">
        <v>0.196</v>
      </c>
      <c r="M268" s="9">
        <f>ROUND(K268*L268,0)</f>
        <v/>
      </c>
      <c r="N268" s="9" t="n">
        <v>66619</v>
      </c>
      <c r="O268" s="9">
        <f>N268-M268</f>
        <v/>
      </c>
      <c r="P268" s="8" t="inlineStr">
        <is>
          <t>MS2 Engineering submittal 10% x station price share 5.48% | Design stage key 19.6% of the engineering-submittal milestone</t>
        </is>
      </c>
      <c r="Q268" s="8" t="inlineStr">
        <is>
          <t>Annex 3 Design and engineering package (railway) allocated by station hardware share</t>
        </is>
      </c>
      <c r="R268" s="9" t="n">
        <v>50</v>
      </c>
      <c r="S268" s="19">
        <f>R268/1000</f>
        <v/>
      </c>
      <c r="T268" s="20" t="n">
        <v>46735</v>
      </c>
      <c r="U268" s="20" t="n">
        <v>46750</v>
      </c>
      <c r="V268" s="8" t="n">
        <v>12</v>
      </c>
    </row>
    <row r="269">
      <c r="A269" s="8" t="inlineStr">
        <is>
          <t>SH-DES</t>
        </is>
      </c>
      <c r="B269" s="8" t="inlineStr">
        <is>
          <t>Design and engineering package (per railway, allocated to the station)</t>
        </is>
      </c>
      <c r="C269" s="8" t="inlineStr">
        <is>
          <t>NMJ-E1100</t>
        </is>
      </c>
      <c r="D269" s="8" t="inlineStr">
        <is>
          <t>IFC and shop drawings: SAR approval and release - Al Majma'ah</t>
        </is>
      </c>
      <c r="E269" s="8" t="inlineStr">
        <is>
          <t>ENG.NMJ.IFC.APR</t>
        </is>
      </c>
      <c r="F269" s="8" t="inlineStr">
        <is>
          <t>Engineering</t>
        </is>
      </c>
      <c r="G269" s="8" t="inlineStr">
        <is>
          <t>NMJ</t>
        </is>
      </c>
      <c r="H269" s="8" t="inlineStr">
        <is>
          <t>MS3</t>
        </is>
      </c>
      <c r="I269" s="16" t="n">
        <v>0.1</v>
      </c>
      <c r="J269" s="10">
        <f>Station_BOQ!R12</f>
        <v/>
      </c>
      <c r="K269" s="9">
        <f>I269*62000000*J269</f>
        <v/>
      </c>
      <c r="L269" s="18" t="n">
        <v>0.2</v>
      </c>
      <c r="M269" s="9">
        <f>ROUND(K269*L269,0)</f>
        <v/>
      </c>
      <c r="N269" s="9" t="n">
        <v>67978</v>
      </c>
      <c r="O269" s="9">
        <f>N269-M269</f>
        <v/>
      </c>
      <c r="P269" s="8" t="inlineStr">
        <is>
          <t>MS3 SAR approval of engineering 10% x station price share 5.48% | Design stage key 20.0% of the SAR-approval milestone</t>
        </is>
      </c>
      <c r="Q269" s="8" t="inlineStr">
        <is>
          <t>Annex 3 Design and engineering package (railway) allocated by station hardware share</t>
        </is>
      </c>
      <c r="R269" s="9" t="n">
        <v>62</v>
      </c>
      <c r="S269" s="19">
        <f>R269/1000</f>
        <v/>
      </c>
      <c r="T269" s="20" t="n">
        <v>46751</v>
      </c>
      <c r="U269" s="20" t="n">
        <v>46771</v>
      </c>
      <c r="V269" s="8" t="n">
        <v>15</v>
      </c>
    </row>
    <row r="270">
      <c r="A270" s="8" t="inlineStr">
        <is>
          <t>SH-DES</t>
        </is>
      </c>
      <c r="B270" s="8" t="inlineStr">
        <is>
          <t>Design and engineering package (per railway, allocated to the station)</t>
        </is>
      </c>
      <c r="C270" s="8" t="inlineStr">
        <is>
          <t>NMJ-E1110</t>
        </is>
      </c>
      <c r="D270" s="8" t="inlineStr">
        <is>
          <t>HCIS Stage 3 and 4 documents: preparation - Al Majma'ah</t>
        </is>
      </c>
      <c r="E270" s="8" t="inlineStr">
        <is>
          <t>ENG.NMJ.HCS.SUB</t>
        </is>
      </c>
      <c r="F270" s="8" t="inlineStr">
        <is>
          <t>Engineering</t>
        </is>
      </c>
      <c r="G270" s="8" t="inlineStr">
        <is>
          <t>NMJ</t>
        </is>
      </c>
      <c r="H270" s="8" t="inlineStr">
        <is>
          <t>MS2</t>
        </is>
      </c>
      <c r="I270" s="16" t="n">
        <v>0.1</v>
      </c>
      <c r="J270" s="10">
        <f>Station_BOQ!R12</f>
        <v/>
      </c>
      <c r="K270" s="9">
        <f>I270*62000000*J270</f>
        <v/>
      </c>
      <c r="L270" s="18" t="n">
        <v>0.049</v>
      </c>
      <c r="M270" s="9">
        <f>ROUND(K270*L270,0)</f>
        <v/>
      </c>
      <c r="N270" s="9" t="n">
        <v>16655</v>
      </c>
      <c r="O270" s="9">
        <f>N270-M270</f>
        <v/>
      </c>
      <c r="P270" s="8" t="inlineStr">
        <is>
          <t>MS2 Engineering submittal 10% x station price share 5.48% | Design stage key 4.9% of the engineering-submittal milestone</t>
        </is>
      </c>
      <c r="Q270" s="8" t="inlineStr">
        <is>
          <t>Annex 3 Design and engineering package (railway) allocated by station hardware share</t>
        </is>
      </c>
      <c r="R270" s="9" t="n">
        <v>24</v>
      </c>
      <c r="S270" s="19">
        <f>R270/1000</f>
        <v/>
      </c>
      <c r="T270" s="20" t="n">
        <v>46713</v>
      </c>
      <c r="U270" s="20" t="n">
        <v>46750</v>
      </c>
      <c r="V270" s="8" t="n">
        <v>28</v>
      </c>
    </row>
    <row r="271">
      <c r="A271" s="8" t="inlineStr">
        <is>
          <t>SH-DES</t>
        </is>
      </c>
      <c r="B271" s="8" t="inlineStr">
        <is>
          <t>Design and engineering package (per railway, allocated to the station)</t>
        </is>
      </c>
      <c r="C271" s="8" t="inlineStr">
        <is>
          <t>NMJ-E1120</t>
        </is>
      </c>
      <c r="D271" s="8" t="inlineStr">
        <is>
          <t>HCIS Stage 3 and 4 documents: SAR final review and HCIS submission - Al Majma'ah</t>
        </is>
      </c>
      <c r="E271" s="8" t="inlineStr">
        <is>
          <t>ENG.NMJ.HCS.APR</t>
        </is>
      </c>
      <c r="F271" s="8" t="inlineStr">
        <is>
          <t>Engineering</t>
        </is>
      </c>
      <c r="G271" s="8" t="inlineStr">
        <is>
          <t>NMJ</t>
        </is>
      </c>
      <c r="H271" s="8" t="inlineStr">
        <is>
          <t>MS3</t>
        </is>
      </c>
      <c r="I271" s="16" t="n">
        <v>0.1</v>
      </c>
      <c r="J271" s="10">
        <f>Station_BOQ!R12</f>
        <v/>
      </c>
      <c r="K271" s="9">
        <f>I271*62000000*J271</f>
        <v/>
      </c>
      <c r="L271" s="18" t="n">
        <v>0.05</v>
      </c>
      <c r="M271" s="9">
        <f>ROUND(K271*L271,0)</f>
        <v/>
      </c>
      <c r="N271" s="9" t="n">
        <v>16995</v>
      </c>
      <c r="O271" s="9">
        <f>N271-M271</f>
        <v/>
      </c>
      <c r="P271" s="8" t="inlineStr">
        <is>
          <t>MS3 SAR approval of engineering 10% x station price share 5.48% | Design stage key 5.0% of the SAR-approval milestone</t>
        </is>
      </c>
      <c r="Q271" s="8" t="inlineStr">
        <is>
          <t>Annex 3 Design and engineering package (railway) allocated by station hardware share</t>
        </is>
      </c>
      <c r="R271" s="9" t="n">
        <v>13</v>
      </c>
      <c r="S271" s="19">
        <f>R271/1000</f>
        <v/>
      </c>
      <c r="T271" s="20" t="n">
        <v>46751</v>
      </c>
      <c r="U271" s="20" t="n">
        <v>46771</v>
      </c>
      <c r="V271" s="8" t="n">
        <v>15</v>
      </c>
    </row>
    <row r="272">
      <c r="A272" s="8" t="inlineStr">
        <is>
          <t>SH-DES, SH-TRN</t>
        </is>
      </c>
      <c r="B272" s="8" t="inlineStr">
        <is>
          <t>Design and engineering package (per railway, allocated to the station) and Training (per railway, allocated): documentation and training share</t>
        </is>
      </c>
      <c r="C272" s="8" t="inlineStr">
        <is>
          <t>NMJ-E1130</t>
        </is>
      </c>
      <c r="D272" s="8" t="inlineStr">
        <is>
          <t>As-built and O&amp;M documentation: submittal - Al Majma'ah</t>
        </is>
      </c>
      <c r="E272" s="8" t="inlineStr">
        <is>
          <t>ENG.NMJ.ASB.SUB</t>
        </is>
      </c>
      <c r="F272" s="8" t="inlineStr">
        <is>
          <t>Engineering</t>
        </is>
      </c>
      <c r="G272" s="8" t="inlineStr">
        <is>
          <t>NMJ</t>
        </is>
      </c>
      <c r="H272" s="8" t="inlineStr">
        <is>
          <t>MS7</t>
        </is>
      </c>
      <c r="I272" s="16" t="n">
        <v>0.1</v>
      </c>
      <c r="J272" s="10">
        <f>Station_BOQ!R12</f>
        <v/>
      </c>
      <c r="K272" s="9">
        <f>I272*62000000*J272</f>
        <v/>
      </c>
      <c r="L272" s="18" t="n">
        <v>0.15</v>
      </c>
      <c r="M272" s="9">
        <f>ROUND(K272*L272,0)</f>
        <v/>
      </c>
      <c r="N272" s="9" t="n">
        <v>50984</v>
      </c>
      <c r="O272" s="9">
        <f>N272-M272</f>
        <v/>
      </c>
      <c r="P272" s="8" t="inlineStr">
        <is>
          <t>MS7 Final acceptance and handover 10% x station price share 5.48% | Fixed key 15% of final-acceptance milestone</t>
        </is>
      </c>
      <c r="Q272" s="8" t="inlineStr">
        <is>
          <t>Annex 3 documentation and training share</t>
        </is>
      </c>
      <c r="R272" s="9" t="n">
        <v>40</v>
      </c>
      <c r="S272" s="19">
        <f>R272/1000</f>
        <v/>
      </c>
      <c r="T272" s="20" t="n">
        <v>46966</v>
      </c>
      <c r="U272" s="20" t="n">
        <v>47003</v>
      </c>
      <c r="V272" s="8" t="n">
        <v>28</v>
      </c>
    </row>
    <row r="273">
      <c r="A273" s="8" t="inlineStr">
        <is>
          <t>SH-DES</t>
        </is>
      </c>
      <c r="B273" s="8" t="inlineStr">
        <is>
          <t>Design and engineering package (per railway, allocated to the station): documentation share</t>
        </is>
      </c>
      <c r="C273" s="8" t="inlineStr">
        <is>
          <t>NMJ-E1140</t>
        </is>
      </c>
      <c r="D273" s="8" t="inlineStr">
        <is>
          <t>As-built and O&amp;M documentation: SAR review and approval - Al Majma'ah</t>
        </is>
      </c>
      <c r="E273" s="8" t="inlineStr">
        <is>
          <t>ENG.NMJ.ASB.APR</t>
        </is>
      </c>
      <c r="F273" s="8" t="inlineStr">
        <is>
          <t>Engineering</t>
        </is>
      </c>
      <c r="G273" s="8" t="inlineStr">
        <is>
          <t>NMJ</t>
        </is>
      </c>
      <c r="H273" s="8" t="inlineStr">
        <is>
          <t>MS7</t>
        </is>
      </c>
      <c r="I273" s="16" t="n">
        <v>0.1</v>
      </c>
      <c r="J273" s="10">
        <f>Station_BOQ!R12</f>
        <v/>
      </c>
      <c r="K273" s="9">
        <f>I273*62000000*J273</f>
        <v/>
      </c>
      <c r="L273" s="18" t="n">
        <v>0.05</v>
      </c>
      <c r="M273" s="9">
        <f>ROUND(K273*L273,0)</f>
        <v/>
      </c>
      <c r="N273" s="9" t="n">
        <v>16995</v>
      </c>
      <c r="O273" s="9">
        <f>N273-M273</f>
        <v/>
      </c>
      <c r="P273" s="8" t="inlineStr">
        <is>
          <t>MS7 Final acceptance and handover 10% x station price share 5.48% | Fixed key 5%</t>
        </is>
      </c>
      <c r="Q273" s="8" t="inlineStr">
        <is>
          <t>Annex 3 documentation share</t>
        </is>
      </c>
      <c r="R273" s="9" t="n">
        <v>22</v>
      </c>
      <c r="S273" s="19">
        <f>R273/1000</f>
        <v/>
      </c>
      <c r="T273" s="20" t="n">
        <v>47006</v>
      </c>
      <c r="U273" s="20" t="n">
        <v>47024</v>
      </c>
      <c r="V273" s="8" t="n">
        <v>15</v>
      </c>
    </row>
    <row r="274">
      <c r="A274" s="8" t="inlineStr">
        <is>
          <t>-</t>
        </is>
      </c>
      <c r="B274" s="8" t="inlineStr">
        <is>
          <t>No BOQ cost: administrative or review step with no payment milestone</t>
        </is>
      </c>
      <c r="C274" s="8" t="inlineStr">
        <is>
          <t>NMJ-X1010</t>
        </is>
      </c>
      <c r="D274" s="8" t="inlineStr">
        <is>
          <t>Enabling works: site preparation, setting out, temporary works and utilities clearance - Al Majma'ah</t>
        </is>
      </c>
      <c r="E274" s="8" t="inlineStr">
        <is>
          <t>CON.NMJ.ENA</t>
        </is>
      </c>
      <c r="F274" s="8" t="inlineStr">
        <is>
          <t>Construction</t>
        </is>
      </c>
      <c r="G274" s="8" t="inlineStr">
        <is>
          <t>NMJ</t>
        </is>
      </c>
      <c r="H274" s="8" t="inlineStr">
        <is>
          <t>MS5</t>
        </is>
      </c>
      <c r="I274" s="16" t="n">
        <v>0.2</v>
      </c>
      <c r="J274" s="10">
        <f>Station_BOQ!R12</f>
        <v/>
      </c>
      <c r="K274" s="9">
        <f>I274*62000000*J274</f>
        <v/>
      </c>
      <c r="L274" s="18" t="n">
        <v>0.0124039217219117</v>
      </c>
      <c r="M274" s="9">
        <f>ROUND(K274*L274,0)</f>
        <v/>
      </c>
      <c r="N274" s="9" t="n">
        <v>8432</v>
      </c>
      <c r="O274" s="9">
        <f>N274-M274</f>
        <v/>
      </c>
      <c r="P274" s="8" t="inlineStr">
        <is>
          <t>MS5 Installation 20% x station price share 5.48% | BOQ civil share 31.0% x 4% (enabling: site preparation)</t>
        </is>
      </c>
      <c r="Q274" s="8" t="inlineStr">
        <is>
          <t>Annex 3 A6 Civil works (SAR 745,743)</t>
        </is>
      </c>
      <c r="R274" s="9" t="n">
        <v>53</v>
      </c>
      <c r="S274" s="19">
        <f>R274/1000</f>
        <v/>
      </c>
      <c r="T274" s="20" t="n">
        <v>46772</v>
      </c>
      <c r="U274" s="20" t="n">
        <v>46778</v>
      </c>
      <c r="V274" s="8" t="n">
        <v>5</v>
      </c>
    </row>
    <row r="275">
      <c r="A275" s="8" t="inlineStr">
        <is>
          <t>-</t>
        </is>
      </c>
      <c r="B275" s="8" t="inlineStr">
        <is>
          <t>No BOQ cost: administrative or review step with no payment milestone</t>
        </is>
      </c>
      <c r="C275" s="8" t="inlineStr">
        <is>
          <t>NMJ-X1020</t>
        </is>
      </c>
      <c r="D275" s="8" t="inlineStr">
        <is>
          <t>Enabling works: cable routes, duct-bank and cabinet plinth preparation - Al Majma'ah</t>
        </is>
      </c>
      <c r="E275" s="8" t="inlineStr">
        <is>
          <t>CON.NMJ.ENA</t>
        </is>
      </c>
      <c r="F275" s="8" t="inlineStr">
        <is>
          <t>Construction</t>
        </is>
      </c>
      <c r="G275" s="8" t="inlineStr">
        <is>
          <t>NMJ</t>
        </is>
      </c>
      <c r="H275" s="8" t="inlineStr">
        <is>
          <t>MS5</t>
        </is>
      </c>
      <c r="I275" s="16" t="n">
        <v>0.2</v>
      </c>
      <c r="J275" s="10">
        <f>Station_BOQ!R12</f>
        <v/>
      </c>
      <c r="K275" s="9">
        <f>I275*62000000*J275</f>
        <v/>
      </c>
      <c r="L275" s="18" t="n">
        <v>0.01860588258286754</v>
      </c>
      <c r="M275" s="9">
        <f>ROUND(K275*L275,0)</f>
        <v/>
      </c>
      <c r="N275" s="9" t="n">
        <v>12648</v>
      </c>
      <c r="O275" s="9">
        <f>N275-M275</f>
        <v/>
      </c>
      <c r="P275" s="8" t="inlineStr">
        <is>
          <t>MS5 Installation 20% x station price share 5.48% | BOQ civil share 31.0% x 6% (enabling: routes, ducts, plinths)</t>
        </is>
      </c>
      <c r="Q275" s="8" t="inlineStr">
        <is>
          <t>Annex 3 A6 Civil works (SAR 745,743)</t>
        </is>
      </c>
      <c r="R275" s="9" t="n">
        <v>79</v>
      </c>
      <c r="S275" s="19">
        <f>R275/1000</f>
        <v/>
      </c>
      <c r="T275" s="20" t="n">
        <v>46779</v>
      </c>
      <c r="U275" s="20" t="n">
        <v>46792</v>
      </c>
      <c r="V275" s="8" t="n">
        <v>10</v>
      </c>
    </row>
    <row r="276">
      <c r="A276" s="8" t="inlineStr">
        <is>
          <t>A1</t>
        </is>
      </c>
      <c r="B276" s="8" t="inlineStr">
        <is>
          <t>A1 CCTV system</t>
        </is>
      </c>
      <c r="C276" s="8" t="inlineStr">
        <is>
          <t>NMJ-P1010</t>
        </is>
      </c>
      <c r="D276" s="8" t="inlineStr">
        <is>
          <t>Manufacture CCTV cameras and analytics - Al Majma'ah</t>
        </is>
      </c>
      <c r="E276" s="8" t="inlineStr">
        <is>
          <t>PRO.NMJ.CCT</t>
        </is>
      </c>
      <c r="F276" s="8" t="inlineStr">
        <is>
          <t>Procurement</t>
        </is>
      </c>
      <c r="G276" s="8" t="inlineStr">
        <is>
          <t>NMJ</t>
        </is>
      </c>
      <c r="H276" s="8" t="inlineStr">
        <is>
          <t>MS4</t>
        </is>
      </c>
      <c r="I276" s="16" t="n">
        <v>0.2</v>
      </c>
      <c r="J276" s="10">
        <f>Station_BOQ!R12</f>
        <v/>
      </c>
      <c r="K276" s="9">
        <f>I276*62000000*J276</f>
        <v/>
      </c>
      <c r="L276" s="18" t="n">
        <v>0.1532390081724096</v>
      </c>
      <c r="M276" s="9">
        <f>ROUND(K276*L276,0)</f>
        <v/>
      </c>
      <c r="N276" s="9" t="n">
        <v>104169</v>
      </c>
      <c r="O276" s="9">
        <f>N276-M276</f>
        <v/>
      </c>
      <c r="P276" s="8" t="inlineStr">
        <is>
          <t>MS4 Material delivery 20% x station price share 5.48% | BOQ section share 20.4% of station equipment x 75% (manufacture)</t>
        </is>
      </c>
      <c r="Q276" s="8" t="inlineStr">
        <is>
          <t>Annex 3 A1 CCTV system (SAR 338,989)</t>
        </is>
      </c>
      <c r="R276" s="9" t="n">
        <v>258</v>
      </c>
      <c r="S276" s="19">
        <f>R276/1000</f>
        <v/>
      </c>
      <c r="T276" s="20" t="n">
        <v>46772</v>
      </c>
      <c r="U276" s="20" t="n">
        <v>46845</v>
      </c>
      <c r="V276" s="8" t="n">
        <v>47</v>
      </c>
    </row>
    <row r="277">
      <c r="A277" s="8" t="inlineStr">
        <is>
          <t>A2</t>
        </is>
      </c>
      <c r="B277" s="8" t="inlineStr">
        <is>
          <t>A2 Video management and video wall</t>
        </is>
      </c>
      <c r="C277" s="8" t="inlineStr">
        <is>
          <t>NMJ-P1020</t>
        </is>
      </c>
      <c r="D277" s="8" t="inlineStr">
        <is>
          <t>Manufacture video management servers, storage and video wall - Al Majma'ah</t>
        </is>
      </c>
      <c r="E277" s="8" t="inlineStr">
        <is>
          <t>PRO.NMJ.VMS</t>
        </is>
      </c>
      <c r="F277" s="8" t="inlineStr">
        <is>
          <t>Procurement</t>
        </is>
      </c>
      <c r="G277" s="8" t="inlineStr">
        <is>
          <t>NMJ</t>
        </is>
      </c>
      <c r="H277" s="8" t="inlineStr">
        <is>
          <t>MS4</t>
        </is>
      </c>
      <c r="I277" s="16" t="n">
        <v>0.2</v>
      </c>
      <c r="J277" s="10">
        <f>Station_BOQ!R12</f>
        <v/>
      </c>
      <c r="K277" s="9">
        <f>I277*62000000*J277</f>
        <v/>
      </c>
      <c r="L277" s="18" t="n">
        <v>0.1623821136398294</v>
      </c>
      <c r="M277" s="9">
        <f>ROUND(K277*L277,0)</f>
        <v/>
      </c>
      <c r="N277" s="9" t="n">
        <v>110385</v>
      </c>
      <c r="O277" s="9">
        <f>N277-M277</f>
        <v/>
      </c>
      <c r="P277" s="8" t="inlineStr">
        <is>
          <t>MS4 Material delivery 20% x station price share 5.48% | BOQ section share 21.7% of station equipment x 75% (manufacture)</t>
        </is>
      </c>
      <c r="Q277" s="8" t="inlineStr">
        <is>
          <t>Annex 3 A2 Video management and wall (SAR 359,215)</t>
        </is>
      </c>
      <c r="R277" s="9" t="n">
        <v>273</v>
      </c>
      <c r="S277" s="19">
        <f>R277/1000</f>
        <v/>
      </c>
      <c r="T277" s="20" t="n">
        <v>46772</v>
      </c>
      <c r="U277" s="20" t="n">
        <v>46845</v>
      </c>
      <c r="V277" s="8" t="n">
        <v>47</v>
      </c>
    </row>
    <row r="278">
      <c r="A278" s="8" t="inlineStr">
        <is>
          <t>A3</t>
        </is>
      </c>
      <c r="B278" s="8" t="inlineStr">
        <is>
          <t>A3 Access control and intercom</t>
        </is>
      </c>
      <c r="C278" s="8" t="inlineStr">
        <is>
          <t>NMJ-P1030</t>
        </is>
      </c>
      <c r="D278" s="8" t="inlineStr">
        <is>
          <t>Manufacture access control and intercom equipment - Al Majma'ah</t>
        </is>
      </c>
      <c r="E278" s="8" t="inlineStr">
        <is>
          <t>PRO.NMJ.ACC</t>
        </is>
      </c>
      <c r="F278" s="8" t="inlineStr">
        <is>
          <t>Procurement</t>
        </is>
      </c>
      <c r="G278" s="8" t="inlineStr">
        <is>
          <t>NMJ</t>
        </is>
      </c>
      <c r="H278" s="8" t="inlineStr">
        <is>
          <t>MS4</t>
        </is>
      </c>
      <c r="I278" s="16" t="n">
        <v>0.2</v>
      </c>
      <c r="J278" s="10">
        <f>Station_BOQ!R12</f>
        <v/>
      </c>
      <c r="K278" s="9">
        <f>I278*62000000*J278</f>
        <v/>
      </c>
      <c r="L278" s="18" t="n">
        <v>0.01992849819693464</v>
      </c>
      <c r="M278" s="9">
        <f>ROUND(K278*L278,0)</f>
        <v/>
      </c>
      <c r="N278" s="9" t="n">
        <v>13547</v>
      </c>
      <c r="O278" s="9">
        <f>N278-M278</f>
        <v/>
      </c>
      <c r="P278" s="8" t="inlineStr">
        <is>
          <t>MS4 Material delivery 20% x station price share 5.48% | BOQ section share 2.7% of station equipment x 75% (manufacture)</t>
        </is>
      </c>
      <c r="Q278" s="8" t="inlineStr">
        <is>
          <t>Annex 3 A3 Access control and intercom (SAR 44,085)</t>
        </is>
      </c>
      <c r="R278" s="9" t="n">
        <v>34</v>
      </c>
      <c r="S278" s="19">
        <f>R278/1000</f>
        <v/>
      </c>
      <c r="T278" s="20" t="n">
        <v>46772</v>
      </c>
      <c r="U278" s="20" t="n">
        <v>46845</v>
      </c>
      <c r="V278" s="8" t="n">
        <v>47</v>
      </c>
    </row>
    <row r="279">
      <c r="A279" s="8" t="inlineStr">
        <is>
          <t>A4, A5</t>
        </is>
      </c>
      <c r="B279" s="8" t="inlineStr">
        <is>
          <t>A4 UPS and A5 Poles, cabinets and network</t>
        </is>
      </c>
      <c r="C279" s="8" t="inlineStr">
        <is>
          <t>NMJ-P1040</t>
        </is>
      </c>
      <c r="D279" s="8" t="inlineStr">
        <is>
          <t>Manufacture UPS, network switches and field cabinets - Al Majma'ah</t>
        </is>
      </c>
      <c r="E279" s="8" t="inlineStr">
        <is>
          <t>PRO.NMJ.UPN</t>
        </is>
      </c>
      <c r="F279" s="8" t="inlineStr">
        <is>
          <t>Procurement</t>
        </is>
      </c>
      <c r="G279" s="8" t="inlineStr">
        <is>
          <t>NMJ</t>
        </is>
      </c>
      <c r="H279" s="8" t="inlineStr">
        <is>
          <t>MS4</t>
        </is>
      </c>
      <c r="I279" s="16" t="n">
        <v>0.2</v>
      </c>
      <c r="J279" s="10">
        <f>Station_BOQ!R12</f>
        <v/>
      </c>
      <c r="K279" s="9">
        <f>I279*62000000*J279</f>
        <v/>
      </c>
      <c r="L279" s="18" t="n">
        <v>0.4144503799908265</v>
      </c>
      <c r="M279" s="9">
        <f>ROUND(K279*L279,0)</f>
        <v/>
      </c>
      <c r="N279" s="9" t="n">
        <v>281736</v>
      </c>
      <c r="O279" s="9">
        <f>N279-M279</f>
        <v/>
      </c>
      <c r="P279" s="8" t="inlineStr">
        <is>
          <t>MS4 Material delivery 20% x station price share 5.48% | BOQ section share 55.3% of station equipment x 75% (manufacture)</t>
        </is>
      </c>
      <c r="Q279" s="8" t="inlineStr">
        <is>
          <t>Annex 3 A4 UPS + A5 poles, cabinets and network (SAR 916,830)</t>
        </is>
      </c>
      <c r="R279" s="9" t="n">
        <v>698</v>
      </c>
      <c r="S279" s="19">
        <f>R279/1000</f>
        <v/>
      </c>
      <c r="T279" s="20" t="n">
        <v>46772</v>
      </c>
      <c r="U279" s="20" t="n">
        <v>46845</v>
      </c>
      <c r="V279" s="8" t="n">
        <v>47</v>
      </c>
    </row>
    <row r="280">
      <c r="A280" s="8" t="inlineStr">
        <is>
          <t>SH-FAT</t>
        </is>
      </c>
      <c r="B280" s="8" t="inlineStr">
        <is>
          <t>Factory acceptance test (per railway, allocated)</t>
        </is>
      </c>
      <c r="C280" s="8" t="inlineStr">
        <is>
          <t>NMJ-P1050</t>
        </is>
      </c>
      <c r="D280" s="8" t="inlineStr">
        <is>
          <t>Factory acceptance test at vendor premises - Al Majma'ah</t>
        </is>
      </c>
      <c r="E280" s="8" t="inlineStr">
        <is>
          <t>PRO.NMJ.LOG</t>
        </is>
      </c>
      <c r="F280" s="8" t="inlineStr">
        <is>
          <t>Procurement</t>
        </is>
      </c>
      <c r="G280" s="8" t="inlineStr">
        <is>
          <t>NMJ</t>
        </is>
      </c>
      <c r="H280" s="8" t="inlineStr">
        <is>
          <t>MS4</t>
        </is>
      </c>
      <c r="I280" s="16" t="n">
        <v>0.2</v>
      </c>
      <c r="J280" s="10">
        <f>Station_BOQ!R12</f>
        <v/>
      </c>
      <c r="K280" s="9">
        <f>I280*62000000*J280</f>
        <v/>
      </c>
      <c r="L280" s="18" t="n">
        <v>0.05</v>
      </c>
      <c r="M280" s="9">
        <f>ROUND(K280*L280,0)</f>
        <v/>
      </c>
      <c r="N280" s="9" t="n">
        <v>33989</v>
      </c>
      <c r="O280" s="9">
        <f>N280-M280</f>
        <v/>
      </c>
      <c r="P280" s="8" t="inlineStr">
        <is>
          <t>MS4 Material delivery 20% x station price share 5.48% | Fixed key 5% (FAT)</t>
        </is>
      </c>
      <c r="Q280" s="8" t="inlineStr">
        <is>
          <t>Annex 3 Factory acceptance test (railway), allocated by hardware share</t>
        </is>
      </c>
      <c r="R280" s="9" t="n">
        <v>211</v>
      </c>
      <c r="S280" s="19">
        <f>R280/1000</f>
        <v/>
      </c>
      <c r="T280" s="20" t="n">
        <v>46846</v>
      </c>
      <c r="U280" s="20" t="n">
        <v>46859</v>
      </c>
      <c r="V280" s="8" t="n">
        <v>10</v>
      </c>
    </row>
    <row r="281">
      <c r="A281" s="8" t="inlineStr">
        <is>
          <t>A1-A5</t>
        </is>
      </c>
      <c r="B281" s="8" t="inlineStr">
        <is>
          <t>A1 to A5 equipment sections: logistics (shipping, customs, delivery) share</t>
        </is>
      </c>
      <c r="C281" s="8" t="inlineStr">
        <is>
          <t>NMJ-P1060</t>
        </is>
      </c>
      <c r="D281" s="8" t="inlineStr">
        <is>
          <t>Shipping and customs clearance - Al Majma'ah</t>
        </is>
      </c>
      <c r="E281" s="8" t="inlineStr">
        <is>
          <t>PRO.NMJ.LOG</t>
        </is>
      </c>
      <c r="F281" s="8" t="inlineStr">
        <is>
          <t>Procurement</t>
        </is>
      </c>
      <c r="G281" s="8" t="inlineStr">
        <is>
          <t>NMJ</t>
        </is>
      </c>
      <c r="H281" s="8" t="inlineStr">
        <is>
          <t>MS4</t>
        </is>
      </c>
      <c r="I281" s="16" t="n">
        <v>0.2</v>
      </c>
      <c r="J281" s="10">
        <f>Station_BOQ!R12</f>
        <v/>
      </c>
      <c r="K281" s="9">
        <f>I281*62000000*J281</f>
        <v/>
      </c>
      <c r="L281" s="18" t="n">
        <v>0.15</v>
      </c>
      <c r="M281" s="9">
        <f>ROUND(K281*L281,0)</f>
        <v/>
      </c>
      <c r="N281" s="9" t="n">
        <v>101967</v>
      </c>
      <c r="O281" s="9">
        <f>N281-M281</f>
        <v/>
      </c>
      <c r="P281" s="8" t="inlineStr">
        <is>
          <t>MS4 Material delivery 20% x station price share 5.48% | Fixed key 15% (shipping and customs)</t>
        </is>
      </c>
      <c r="Q281" s="8" t="inlineStr">
        <is>
          <t>Annex 3 equipment sections A1-A5 (logistics share)</t>
        </is>
      </c>
      <c r="R281" s="9" t="n">
        <v>421</v>
      </c>
      <c r="S281" s="19">
        <f>R281/1000</f>
        <v/>
      </c>
      <c r="T281" s="20" t="n">
        <v>46860</v>
      </c>
      <c r="U281" s="20" t="n">
        <v>46896</v>
      </c>
      <c r="V281" s="8" t="n">
        <v>22</v>
      </c>
    </row>
    <row r="282">
      <c r="A282" s="8" t="inlineStr">
        <is>
          <t>SH-SPR</t>
        </is>
      </c>
      <c r="B282" s="8" t="inlineStr">
        <is>
          <t>Commissioning spares (per railway, allocated)</t>
        </is>
      </c>
      <c r="C282" s="8" t="inlineStr">
        <is>
          <t>NMJ-P1070</t>
        </is>
      </c>
      <c r="D282" s="8" t="inlineStr">
        <is>
          <t>Delivery to station and receiving inspection - Al Majma'ah</t>
        </is>
      </c>
      <c r="E282" s="8" t="inlineStr">
        <is>
          <t>PRO.NMJ.LOG</t>
        </is>
      </c>
      <c r="F282" s="8" t="inlineStr">
        <is>
          <t>Procurement</t>
        </is>
      </c>
      <c r="G282" s="8" t="inlineStr">
        <is>
          <t>NMJ</t>
        </is>
      </c>
      <c r="H282" s="8" t="inlineStr">
        <is>
          <t>MS4</t>
        </is>
      </c>
      <c r="I282" s="16" t="n">
        <v>0.2</v>
      </c>
      <c r="J282" s="10">
        <f>Station_BOQ!R12</f>
        <v/>
      </c>
      <c r="K282" s="9">
        <f>I282*62000000*J282</f>
        <v/>
      </c>
      <c r="L282" s="18" t="n">
        <v>0.05</v>
      </c>
      <c r="M282" s="9">
        <f>ROUND(K282*L282,0)</f>
        <v/>
      </c>
      <c r="N282" s="9" t="n">
        <v>33989</v>
      </c>
      <c r="O282" s="9">
        <f>N282-M282</f>
        <v/>
      </c>
      <c r="P282" s="8" t="inlineStr">
        <is>
          <t>MS4 Material delivery 20% x station price share 5.48% | Fixed key 5% (delivery, receiving) incl. commissioning spares</t>
        </is>
      </c>
      <c r="Q282" s="8" t="inlineStr">
        <is>
          <t>Annex 3 Commissioning spares (railway), allocated by hardware share</t>
        </is>
      </c>
      <c r="R282" s="9" t="n">
        <v>211</v>
      </c>
      <c r="S282" s="19">
        <f>R282/1000</f>
        <v/>
      </c>
      <c r="T282" s="20" t="n">
        <v>46897</v>
      </c>
      <c r="U282" s="20" t="n">
        <v>46903</v>
      </c>
      <c r="V282" s="8" t="n">
        <v>5</v>
      </c>
    </row>
    <row r="283">
      <c r="A283" s="8" t="inlineStr">
        <is>
          <t>A6</t>
        </is>
      </c>
      <c r="B283" s="8" t="inlineStr">
        <is>
          <t>A6 Civil works</t>
        </is>
      </c>
      <c r="C283" s="8" t="inlineStr">
        <is>
          <t>NMJ-C1010</t>
        </is>
      </c>
      <c r="D283" s="8" t="inlineStr">
        <is>
          <t>Civil: platform trenches and duct banks - Al Majma'ah</t>
        </is>
      </c>
      <c r="E283" s="8" t="inlineStr">
        <is>
          <t>CON.NMJ.CIV</t>
        </is>
      </c>
      <c r="F283" s="8" t="inlineStr">
        <is>
          <t>Construction</t>
        </is>
      </c>
      <c r="G283" s="8" t="inlineStr">
        <is>
          <t>NMJ</t>
        </is>
      </c>
      <c r="H283" s="8" t="inlineStr">
        <is>
          <t>MS5</t>
        </is>
      </c>
      <c r="I283" s="16" t="n">
        <v>0.2</v>
      </c>
      <c r="J283" s="10">
        <f>Station_BOQ!R12</f>
        <v/>
      </c>
      <c r="K283" s="9">
        <f>I283*62000000*J283</f>
        <v/>
      </c>
      <c r="L283" s="18" t="n">
        <v>0.1550490215238962</v>
      </c>
      <c r="M283" s="9">
        <f>ROUND(K283*L283,0)</f>
        <v/>
      </c>
      <c r="N283" s="9" t="n">
        <v>105400</v>
      </c>
      <c r="O283" s="9">
        <f>N283-M283</f>
        <v/>
      </c>
      <c r="P283" s="8" t="inlineStr">
        <is>
          <t>MS5 Installation 20% x station price share 5.48% | BOQ civil share 31.0% x 50% (trenches and duct banks)</t>
        </is>
      </c>
      <c r="Q283" s="8" t="inlineStr">
        <is>
          <t>Annex 3 A6 Civil works (SAR 745,743)</t>
        </is>
      </c>
      <c r="R283" s="9" t="n">
        <v>342</v>
      </c>
      <c r="S283" s="19">
        <f>R283/1000</f>
        <v/>
      </c>
      <c r="T283" s="20" t="n">
        <v>46793</v>
      </c>
      <c r="U283" s="20" t="n">
        <v>46887</v>
      </c>
      <c r="V283" s="8" t="n">
        <v>57</v>
      </c>
    </row>
    <row r="284">
      <c r="A284" s="8" t="inlineStr">
        <is>
          <t>A6</t>
        </is>
      </c>
      <c r="B284" s="8" t="inlineStr">
        <is>
          <t>A6 Civil works</t>
        </is>
      </c>
      <c r="C284" s="8" t="inlineStr">
        <is>
          <t>NMJ-C1020</t>
        </is>
      </c>
      <c r="D284" s="8" t="inlineStr">
        <is>
          <t>Civil: camera and ALPR pole foundations and poles - Al Majma'ah</t>
        </is>
      </c>
      <c r="E284" s="8" t="inlineStr">
        <is>
          <t>CON.NMJ.CIV</t>
        </is>
      </c>
      <c r="F284" s="8" t="inlineStr">
        <is>
          <t>Construction</t>
        </is>
      </c>
      <c r="G284" s="8" t="inlineStr">
        <is>
          <t>NMJ</t>
        </is>
      </c>
      <c r="H284" s="8" t="inlineStr">
        <is>
          <t>MS5</t>
        </is>
      </c>
      <c r="I284" s="16" t="n">
        <v>0.2</v>
      </c>
      <c r="J284" s="10">
        <f>Station_BOQ!R12</f>
        <v/>
      </c>
      <c r="K284" s="9">
        <f>I284*62000000*J284</f>
        <v/>
      </c>
      <c r="L284" s="18" t="n">
        <v>0.124039217219117</v>
      </c>
      <c r="M284" s="9">
        <f>ROUND(K284*L284,0)</f>
        <v/>
      </c>
      <c r="N284" s="9" t="n">
        <v>84320</v>
      </c>
      <c r="O284" s="9">
        <f>N284-M284</f>
        <v/>
      </c>
      <c r="P284" s="8" t="inlineStr">
        <is>
          <t>MS5 Installation 20% x station price share 5.48% | BOQ civil share 31.0% x 40% (poles)</t>
        </is>
      </c>
      <c r="Q284" s="8" t="inlineStr">
        <is>
          <t>Annex 3 A6 Civil works (SAR 745,743)</t>
        </is>
      </c>
      <c r="R284" s="9" t="n">
        <v>263</v>
      </c>
      <c r="S284" s="19">
        <f>R284/1000</f>
        <v/>
      </c>
      <c r="T284" s="20" t="n">
        <v>46853</v>
      </c>
      <c r="U284" s="20" t="n">
        <v>46922</v>
      </c>
      <c r="V284" s="8" t="n">
        <v>45</v>
      </c>
    </row>
    <row r="285">
      <c r="A285" s="8" t="inlineStr">
        <is>
          <t>A1-A5</t>
        </is>
      </c>
      <c r="B285" s="8" t="inlineStr">
        <is>
          <t>A1 to A5 equipment sections: installation share (works included in unit prices)</t>
        </is>
      </c>
      <c r="C285" s="8" t="inlineStr">
        <is>
          <t>NMJ-C2010</t>
        </is>
      </c>
      <c r="D285" s="8" t="inlineStr">
        <is>
          <t>Install UPS, network switches and field cabinets - Al Majma'ah</t>
        </is>
      </c>
      <c r="E285" s="8" t="inlineStr">
        <is>
          <t>CON.NMJ.INS</t>
        </is>
      </c>
      <c r="F285" s="8" t="inlineStr">
        <is>
          <t>Construction</t>
        </is>
      </c>
      <c r="G285" s="8" t="inlineStr">
        <is>
          <t>NMJ</t>
        </is>
      </c>
      <c r="H285" s="8" t="inlineStr">
        <is>
          <t>MS5</t>
        </is>
      </c>
      <c r="I285" s="16" t="n">
        <v>0.2</v>
      </c>
      <c r="J285" s="10">
        <f>Station_BOQ!R12</f>
        <v/>
      </c>
      <c r="K285" s="9">
        <f>I285*62000000*J285</f>
        <v/>
      </c>
      <c r="L285" s="18" t="n">
        <v>0.1379803913904415</v>
      </c>
      <c r="M285" s="9">
        <f>ROUND(K285*L285,0)</f>
        <v/>
      </c>
      <c r="N285" s="9" t="n">
        <v>93797</v>
      </c>
      <c r="O285" s="9">
        <f>N285-M285</f>
        <v/>
      </c>
      <c r="P285" s="8" t="inlineStr">
        <is>
          <t>MS5 Installation 20% x station price share 5.48% | Installation key 20% x (1 - civil share 31.0%)</t>
        </is>
      </c>
      <c r="Q285" s="8" t="inlineStr">
        <is>
          <t>Annex 3 equipment sections A1-A5 (installation share)</t>
        </is>
      </c>
      <c r="R285" s="9" t="n">
        <v>158</v>
      </c>
      <c r="S285" s="19">
        <f>R285/1000</f>
        <v/>
      </c>
      <c r="T285" s="20" t="n">
        <v>46904</v>
      </c>
      <c r="U285" s="20" t="n">
        <v>46922</v>
      </c>
      <c r="V285" s="8" t="n">
        <v>13</v>
      </c>
    </row>
    <row r="286">
      <c r="A286" s="8" t="inlineStr">
        <is>
          <t>A1-A5</t>
        </is>
      </c>
      <c r="B286" s="8" t="inlineStr">
        <is>
          <t>A1 to A5 equipment sections: installation share (works included in unit prices)</t>
        </is>
      </c>
      <c r="C286" s="8" t="inlineStr">
        <is>
          <t>NMJ-C2020</t>
        </is>
      </c>
      <c r="D286" s="8" t="inlineStr">
        <is>
          <t>Cabling and termination (power, fibre, data) - Al Majma'ah</t>
        </is>
      </c>
      <c r="E286" s="8" t="inlineStr">
        <is>
          <t>CON.NMJ.INS</t>
        </is>
      </c>
      <c r="F286" s="8" t="inlineStr">
        <is>
          <t>Construction</t>
        </is>
      </c>
      <c r="G286" s="8" t="inlineStr">
        <is>
          <t>NMJ</t>
        </is>
      </c>
      <c r="H286" s="8" t="inlineStr">
        <is>
          <t>MS5</t>
        </is>
      </c>
      <c r="I286" s="16" t="n">
        <v>0.2</v>
      </c>
      <c r="J286" s="10">
        <f>Station_BOQ!R12</f>
        <v/>
      </c>
      <c r="K286" s="9">
        <f>I286*62000000*J286</f>
        <v/>
      </c>
      <c r="L286" s="18" t="n">
        <v>0.2069705870856623</v>
      </c>
      <c r="M286" s="9">
        <f>ROUND(K286*L286,0)</f>
        <v/>
      </c>
      <c r="N286" s="9" t="n">
        <v>140695</v>
      </c>
      <c r="O286" s="9">
        <f>N286-M286</f>
        <v/>
      </c>
      <c r="P286" s="8" t="inlineStr">
        <is>
          <t>MS5 Installation 20% x station price share 5.48% | Installation key 30% x (1 - civil share 31.0%)</t>
        </is>
      </c>
      <c r="Q286" s="8" t="inlineStr">
        <is>
          <t>Annex 3 equipment sections A1-A5 (installation share)</t>
        </is>
      </c>
      <c r="R286" s="9" t="n">
        <v>316</v>
      </c>
      <c r="S286" s="19">
        <f>R286/1000</f>
        <v/>
      </c>
      <c r="T286" s="20" t="n">
        <v>46910</v>
      </c>
      <c r="U286" s="20" t="n">
        <v>46939</v>
      </c>
      <c r="V286" s="8" t="n">
        <v>22</v>
      </c>
    </row>
    <row r="287">
      <c r="A287" s="8" t="inlineStr">
        <is>
          <t>A1-A5</t>
        </is>
      </c>
      <c r="B287" s="8" t="inlineStr">
        <is>
          <t>A1 to A5 equipment sections: installation share (works included in unit prices)</t>
        </is>
      </c>
      <c r="C287" s="8" t="inlineStr">
        <is>
          <t>NMJ-C2030</t>
        </is>
      </c>
      <c r="D287" s="8" t="inlineStr">
        <is>
          <t>Install and aim CCTV cameras - Al Majma'ah</t>
        </is>
      </c>
      <c r="E287" s="8" t="inlineStr">
        <is>
          <t>CON.NMJ.INS</t>
        </is>
      </c>
      <c r="F287" s="8" t="inlineStr">
        <is>
          <t>Construction</t>
        </is>
      </c>
      <c r="G287" s="8" t="inlineStr">
        <is>
          <t>NMJ</t>
        </is>
      </c>
      <c r="H287" s="8" t="inlineStr">
        <is>
          <t>MS5</t>
        </is>
      </c>
      <c r="I287" s="16" t="n">
        <v>0.2</v>
      </c>
      <c r="J287" s="10">
        <f>Station_BOQ!R12</f>
        <v/>
      </c>
      <c r="K287" s="9">
        <f>I287*62000000*J287</f>
        <v/>
      </c>
      <c r="L287" s="18" t="n">
        <v>0.1724754892380519</v>
      </c>
      <c r="M287" s="9">
        <f>ROUND(K287*L287,0)</f>
        <v/>
      </c>
      <c r="N287" s="9" t="n">
        <v>117246</v>
      </c>
      <c r="O287" s="9">
        <f>N287-M287</f>
        <v/>
      </c>
      <c r="P287" s="8" t="inlineStr">
        <is>
          <t>MS5 Installation 20% x station price share 5.48% | Installation key 25% x (1 - civil share 31.0%)</t>
        </is>
      </c>
      <c r="Q287" s="8" t="inlineStr">
        <is>
          <t>Annex 3 equipment sections A1-A5 (installation share)</t>
        </is>
      </c>
      <c r="R287" s="9" t="n">
        <v>263</v>
      </c>
      <c r="S287" s="19">
        <f>R287/1000</f>
        <v/>
      </c>
      <c r="T287" s="20" t="n">
        <v>46940</v>
      </c>
      <c r="U287" s="20" t="n">
        <v>46965</v>
      </c>
      <c r="V287" s="8" t="n">
        <v>18</v>
      </c>
    </row>
    <row r="288">
      <c r="A288" s="8" t="inlineStr">
        <is>
          <t>A1-A5</t>
        </is>
      </c>
      <c r="B288" s="8" t="inlineStr">
        <is>
          <t>A1 to A5 equipment sections: installation share (works included in unit prices)</t>
        </is>
      </c>
      <c r="C288" s="8" t="inlineStr">
        <is>
          <t>NMJ-C2040</t>
        </is>
      </c>
      <c r="D288" s="8" t="inlineStr">
        <is>
          <t>Install video management, video wall and control-room equipment - Al Majma'ah</t>
        </is>
      </c>
      <c r="E288" s="8" t="inlineStr">
        <is>
          <t>CON.NMJ.INS</t>
        </is>
      </c>
      <c r="F288" s="8" t="inlineStr">
        <is>
          <t>Construction</t>
        </is>
      </c>
      <c r="G288" s="8" t="inlineStr">
        <is>
          <t>NMJ</t>
        </is>
      </c>
      <c r="H288" s="8" t="inlineStr">
        <is>
          <t>MS5</t>
        </is>
      </c>
      <c r="I288" s="16" t="n">
        <v>0.2</v>
      </c>
      <c r="J288" s="10">
        <f>Station_BOQ!R12</f>
        <v/>
      </c>
      <c r="K288" s="9">
        <f>I288*62000000*J288</f>
        <v/>
      </c>
      <c r="L288" s="18" t="n">
        <v>0.1034852935428311</v>
      </c>
      <c r="M288" s="9">
        <f>ROUND(K288*L288,0)</f>
        <v/>
      </c>
      <c r="N288" s="9" t="n">
        <v>70348</v>
      </c>
      <c r="O288" s="9">
        <f>N288-M288</f>
        <v/>
      </c>
      <c r="P288" s="8" t="inlineStr">
        <is>
          <t>MS5 Installation 20% x station price share 5.48% | Installation key 15% x (1 - civil share 31.0%)</t>
        </is>
      </c>
      <c r="Q288" s="8" t="inlineStr">
        <is>
          <t>Annex 3 equipment sections A1-A5 (installation share)</t>
        </is>
      </c>
      <c r="R288" s="9" t="n">
        <v>158</v>
      </c>
      <c r="S288" s="19">
        <f>R288/1000</f>
        <v/>
      </c>
      <c r="T288" s="20" t="n">
        <v>46923</v>
      </c>
      <c r="U288" s="20" t="n">
        <v>46943</v>
      </c>
      <c r="V288" s="8" t="n">
        <v>15</v>
      </c>
    </row>
    <row r="289">
      <c r="A289" s="8" t="inlineStr">
        <is>
          <t>A1-A5</t>
        </is>
      </c>
      <c r="B289" s="8" t="inlineStr">
        <is>
          <t>A1 to A5 equipment sections: installation share (works included in unit prices)</t>
        </is>
      </c>
      <c r="C289" s="8" t="inlineStr">
        <is>
          <t>NMJ-C2050</t>
        </is>
      </c>
      <c r="D289" s="8" t="inlineStr">
        <is>
          <t>Install access control and intercom - Al Majma'ah</t>
        </is>
      </c>
      <c r="E289" s="8" t="inlineStr">
        <is>
          <t>CON.NMJ.INS</t>
        </is>
      </c>
      <c r="F289" s="8" t="inlineStr">
        <is>
          <t>Construction</t>
        </is>
      </c>
      <c r="G289" s="8" t="inlineStr">
        <is>
          <t>NMJ</t>
        </is>
      </c>
      <c r="H289" s="8" t="inlineStr">
        <is>
          <t>MS5</t>
        </is>
      </c>
      <c r="I289" s="16" t="n">
        <v>0.2</v>
      </c>
      <c r="J289" s="10">
        <f>Station_BOQ!R12</f>
        <v/>
      </c>
      <c r="K289" s="9">
        <f>I289*62000000*J289</f>
        <v/>
      </c>
      <c r="L289" s="18" t="n">
        <v>0.06899019569522076</v>
      </c>
      <c r="M289" s="9">
        <f>ROUND(K289*L289,0)</f>
        <v/>
      </c>
      <c r="N289" s="9" t="n">
        <v>46898</v>
      </c>
      <c r="O289" s="9">
        <f>N289-M289</f>
        <v/>
      </c>
      <c r="P289" s="8" t="inlineStr">
        <is>
          <t>MS5 Installation 20% x station price share 5.48% | Installation key 10% x (1 - civil share 31.0%)</t>
        </is>
      </c>
      <c r="Q289" s="8" t="inlineStr">
        <is>
          <t>Annex 3 equipment sections A1-A5 (installation share)</t>
        </is>
      </c>
      <c r="R289" s="9" t="n">
        <v>105</v>
      </c>
      <c r="S289" s="19">
        <f>R289/1000</f>
        <v/>
      </c>
      <c r="T289" s="20" t="n">
        <v>46929</v>
      </c>
      <c r="U289" s="20" t="n">
        <v>46945</v>
      </c>
      <c r="V289" s="8" t="n">
        <v>13</v>
      </c>
    </row>
    <row r="290">
      <c r="A290" s="8" t="inlineStr">
        <is>
          <t>A1-A5</t>
        </is>
      </c>
      <c r="B290" s="8" t="inlineStr">
        <is>
          <t>A1 to A5 equipment sections: testing and commissioning share</t>
        </is>
      </c>
      <c r="C290" s="8" t="inlineStr">
        <is>
          <t>NMJ-T1010</t>
        </is>
      </c>
      <c r="D290" s="8" t="inlineStr">
        <is>
          <t>Pre-commissioning and loop checks - Al Majma'ah</t>
        </is>
      </c>
      <c r="E290" s="8" t="inlineStr">
        <is>
          <t>COM.NMJ.TST</t>
        </is>
      </c>
      <c r="F290" s="8" t="inlineStr">
        <is>
          <t>Commissioning and handover</t>
        </is>
      </c>
      <c r="G290" s="8" t="inlineStr">
        <is>
          <t>NMJ</t>
        </is>
      </c>
      <c r="H290" s="8" t="inlineStr">
        <is>
          <t>MS6</t>
        </is>
      </c>
      <c r="I290" s="16" t="n">
        <v>0.1</v>
      </c>
      <c r="J290" s="10">
        <f>Station_BOQ!R12</f>
        <v/>
      </c>
      <c r="K290" s="9">
        <f>I290*62000000*J290</f>
        <v/>
      </c>
      <c r="L290" s="18" t="n">
        <v>0.4</v>
      </c>
      <c r="M290" s="9">
        <f>ROUND(K290*L290,0)</f>
        <v/>
      </c>
      <c r="N290" s="9" t="n">
        <v>135957</v>
      </c>
      <c r="O290" s="9">
        <f>N290-M290</f>
        <v/>
      </c>
      <c r="P290" s="8" t="inlineStr">
        <is>
          <t>MS6 Testing and commissioning (SAT) 10% x station price share 5.48% | Fixed key 40% of SAT milestone</t>
        </is>
      </c>
      <c r="Q290" s="8" t="inlineStr">
        <is>
          <t>Annex 3 equipment sections A1-A5 (testing share)</t>
        </is>
      </c>
      <c r="R290" s="9" t="n">
        <v>158</v>
      </c>
      <c r="S290" s="19">
        <f>R290/1000</f>
        <v/>
      </c>
      <c r="T290" s="20" t="n">
        <v>46966</v>
      </c>
      <c r="U290" s="20" t="n">
        <v>46972</v>
      </c>
      <c r="V290" s="8" t="n">
        <v>5</v>
      </c>
    </row>
    <row r="291">
      <c r="A291" s="8" t="inlineStr">
        <is>
          <t>A1-A5</t>
        </is>
      </c>
      <c r="B291" s="8" t="inlineStr">
        <is>
          <t>A1 to A5 equipment sections: testing and commissioning share</t>
        </is>
      </c>
      <c r="C291" s="8" t="inlineStr">
        <is>
          <t>NMJ-T1020</t>
        </is>
      </c>
      <c r="D291" s="8" t="inlineStr">
        <is>
          <t>Site acceptance test (SAT) and commissioning - Al Majma'ah</t>
        </is>
      </c>
      <c r="E291" s="8" t="inlineStr">
        <is>
          <t>COM.NMJ.TST</t>
        </is>
      </c>
      <c r="F291" s="8" t="inlineStr">
        <is>
          <t>Commissioning and handover</t>
        </is>
      </c>
      <c r="G291" s="8" t="inlineStr">
        <is>
          <t>NMJ</t>
        </is>
      </c>
      <c r="H291" s="8" t="inlineStr">
        <is>
          <t>MS6</t>
        </is>
      </c>
      <c r="I291" s="16" t="n">
        <v>0.1</v>
      </c>
      <c r="J291" s="10">
        <f>Station_BOQ!R12</f>
        <v/>
      </c>
      <c r="K291" s="9">
        <f>I291*62000000*J291</f>
        <v/>
      </c>
      <c r="L291" s="18" t="n">
        <v>0.6</v>
      </c>
      <c r="M291" s="9">
        <f>ROUND(K291*L291,0)</f>
        <v/>
      </c>
      <c r="N291" s="9" t="n">
        <v>203935</v>
      </c>
      <c r="O291" s="9">
        <f>N291-M291</f>
        <v/>
      </c>
      <c r="P291" s="8" t="inlineStr">
        <is>
          <t>MS6 Testing and commissioning (SAT) 10% x station price share 5.48% | Fixed key 60% of SAT milestone</t>
        </is>
      </c>
      <c r="Q291" s="8" t="inlineStr">
        <is>
          <t>Annex 3 equipment sections A1-A5 (testing share)</t>
        </is>
      </c>
      <c r="R291" s="9" t="n">
        <v>211</v>
      </c>
      <c r="S291" s="19">
        <f>R291/1000</f>
        <v/>
      </c>
      <c r="T291" s="20" t="n">
        <v>46973</v>
      </c>
      <c r="U291" s="20" t="n">
        <v>46982</v>
      </c>
      <c r="V291" s="8" t="n">
        <v>8</v>
      </c>
    </row>
    <row r="292">
      <c r="A292" s="8" t="inlineStr">
        <is>
          <t>SH-TRN</t>
        </is>
      </c>
      <c r="B292" s="8" t="inlineStr">
        <is>
          <t>Training (per railway, allocated)</t>
        </is>
      </c>
      <c r="C292" s="8" t="inlineStr">
        <is>
          <t>NMJ-T2010</t>
        </is>
      </c>
      <c r="D292" s="8" t="inlineStr">
        <is>
          <t>Operator and maintenance training - Al Majma'ah</t>
        </is>
      </c>
      <c r="E292" s="8" t="inlineStr">
        <is>
          <t>COM.NMJ.TRN</t>
        </is>
      </c>
      <c r="F292" s="8" t="inlineStr">
        <is>
          <t>Commissioning and handover</t>
        </is>
      </c>
      <c r="G292" s="8" t="inlineStr">
        <is>
          <t>NMJ</t>
        </is>
      </c>
      <c r="H292" s="8" t="inlineStr">
        <is>
          <t>MS7</t>
        </is>
      </c>
      <c r="I292" s="16" t="n">
        <v>0.1</v>
      </c>
      <c r="J292" s="10">
        <f>Station_BOQ!R12</f>
        <v/>
      </c>
      <c r="K292" s="9">
        <f>I292*62000000*J292</f>
        <v/>
      </c>
      <c r="L292" s="18" t="n">
        <v>0.15</v>
      </c>
      <c r="M292" s="9">
        <f>ROUND(K292*L292,0)</f>
        <v/>
      </c>
      <c r="N292" s="9" t="n">
        <v>50984</v>
      </c>
      <c r="O292" s="9">
        <f>N292-M292</f>
        <v/>
      </c>
      <c r="P292" s="8" t="inlineStr">
        <is>
          <t>MS7 Final acceptance and handover 10% x station price share 5.48% | Fixed key 15%</t>
        </is>
      </c>
      <c r="Q292" s="8" t="inlineStr">
        <is>
          <t>Annex 3 Training (railway), allocated by hardware share</t>
        </is>
      </c>
      <c r="R292" s="9" t="n">
        <v>105</v>
      </c>
      <c r="S292" s="19">
        <f>R292/1000</f>
        <v/>
      </c>
      <c r="T292" s="20" t="n">
        <v>46985</v>
      </c>
      <c r="U292" s="20" t="n">
        <v>46996</v>
      </c>
      <c r="V292" s="8" t="n">
        <v>10</v>
      </c>
    </row>
    <row r="293">
      <c r="A293" s="8" t="inlineStr">
        <is>
          <t>A1-A5</t>
        </is>
      </c>
      <c r="B293" s="8" t="inlineStr">
        <is>
          <t>A1 to A5 equipment sections: trial operation share</t>
        </is>
      </c>
      <c r="C293" s="8" t="inlineStr">
        <is>
          <t>NMJ-T2020</t>
        </is>
      </c>
      <c r="D293" s="8" t="inlineStr">
        <is>
          <t>Trial operation (maximum 45 days) - Al Majma'ah</t>
        </is>
      </c>
      <c r="E293" s="8" t="inlineStr">
        <is>
          <t>COM.NMJ.TOA</t>
        </is>
      </c>
      <c r="F293" s="8" t="inlineStr">
        <is>
          <t>Commissioning and handover</t>
        </is>
      </c>
      <c r="G293" s="8" t="inlineStr">
        <is>
          <t>NMJ</t>
        </is>
      </c>
      <c r="H293" s="8" t="inlineStr">
        <is>
          <t>MS7</t>
        </is>
      </c>
      <c r="I293" s="16" t="n">
        <v>0.1</v>
      </c>
      <c r="J293" s="10">
        <f>Station_BOQ!R12</f>
        <v/>
      </c>
      <c r="K293" s="9">
        <f>I293*62000000*J293</f>
        <v/>
      </c>
      <c r="L293" s="18" t="n">
        <v>0.35</v>
      </c>
      <c r="M293" s="9">
        <f>ROUND(K293*L293,0)</f>
        <v/>
      </c>
      <c r="N293" s="9" t="n">
        <v>118962</v>
      </c>
      <c r="O293" s="9">
        <f>N293-M293</f>
        <v/>
      </c>
      <c r="P293" s="8" t="inlineStr">
        <is>
          <t>MS7 Final acceptance and handover 10% x station price share 5.48% | Fixed key 35%</t>
        </is>
      </c>
      <c r="Q293" s="8" t="inlineStr">
        <is>
          <t>Annex 3 equipment sections A1-A5 (trial operation share)</t>
        </is>
      </c>
      <c r="R293" s="9" t="n">
        <v>158</v>
      </c>
      <c r="S293" s="19">
        <f>R293/1000</f>
        <v/>
      </c>
      <c r="T293" s="20" t="n">
        <v>46985</v>
      </c>
      <c r="U293" s="20" t="n">
        <v>47024</v>
      </c>
      <c r="V293" s="8" t="n">
        <v>30</v>
      </c>
    </row>
    <row r="294">
      <c r="A294" s="8" t="inlineStr">
        <is>
          <t>A1-A5</t>
        </is>
      </c>
      <c r="B294" s="8" t="inlineStr">
        <is>
          <t>A1 to A5 equipment sections: handover share</t>
        </is>
      </c>
      <c r="C294" s="8" t="inlineStr">
        <is>
          <t>NMJ-T3010</t>
        </is>
      </c>
      <c r="D294" s="8" t="inlineStr">
        <is>
          <t>Taking-over application, SAR review and handover - Al Majma'ah</t>
        </is>
      </c>
      <c r="E294" s="8" t="inlineStr">
        <is>
          <t>COM.NMJ.TOA</t>
        </is>
      </c>
      <c r="F294" s="8" t="inlineStr">
        <is>
          <t>Commissioning and handover</t>
        </is>
      </c>
      <c r="G294" s="8" t="inlineStr">
        <is>
          <t>NMJ</t>
        </is>
      </c>
      <c r="H294" s="8" t="inlineStr">
        <is>
          <t>MS7</t>
        </is>
      </c>
      <c r="I294" s="16" t="n">
        <v>0.1</v>
      </c>
      <c r="J294" s="10">
        <f>Station_BOQ!R12</f>
        <v/>
      </c>
      <c r="K294" s="9">
        <f>I294*62000000*J294</f>
        <v/>
      </c>
      <c r="L294" s="18" t="n">
        <v>0.3</v>
      </c>
      <c r="M294" s="9">
        <f>ROUND(K294*L294,0)</f>
        <v/>
      </c>
      <c r="N294" s="9" t="n">
        <v>101967</v>
      </c>
      <c r="O294" s="9">
        <f>N294-M294</f>
        <v/>
      </c>
      <c r="P294" s="8" t="inlineStr">
        <is>
          <t>MS7 Final acceptance and handover 10% x station price share 5.48% | Fixed key 30%</t>
        </is>
      </c>
      <c r="Q294" s="8" t="inlineStr">
        <is>
          <t>Annex 3 equipment sections A1-A5 (handover share)</t>
        </is>
      </c>
      <c r="R294" s="9" t="n">
        <v>158</v>
      </c>
      <c r="S294" s="19">
        <f>R294/1000</f>
        <v/>
      </c>
      <c r="T294" s="20" t="n">
        <v>47027</v>
      </c>
      <c r="U294" s="20" t="n">
        <v>47056</v>
      </c>
      <c r="V294" s="8" t="n">
        <v>22</v>
      </c>
    </row>
    <row r="295">
      <c r="A295" s="8" t="inlineStr">
        <is>
          <t>SH-DES</t>
        </is>
      </c>
      <c r="B295" s="8" t="inlineStr">
        <is>
          <t>Design and engineering package (per railway, allocated to the station)</t>
        </is>
      </c>
      <c r="C295" s="8" t="inlineStr">
        <is>
          <t>HKA-E1010</t>
        </is>
      </c>
      <c r="D295" s="8" t="inlineStr">
        <is>
          <t>Survey: submittal of site survey and as-found report - KAEC</t>
        </is>
      </c>
      <c r="E295" s="8" t="inlineStr">
        <is>
          <t>ENG.HKA.SRV.SUB</t>
        </is>
      </c>
      <c r="F295" s="8" t="inlineStr">
        <is>
          <t>Engineering</t>
        </is>
      </c>
      <c r="G295" s="8" t="inlineStr">
        <is>
          <t>HKA</t>
        </is>
      </c>
      <c r="H295" s="8" t="inlineStr">
        <is>
          <t>MS2</t>
        </is>
      </c>
      <c r="I295" s="16" t="n">
        <v>0.1</v>
      </c>
      <c r="J295" s="10">
        <f>Station_BOQ!R13</f>
        <v/>
      </c>
      <c r="K295" s="9">
        <f>I295*62000000*J295</f>
        <v/>
      </c>
      <c r="L295" s="18" t="n">
        <v>0.06900000000000001</v>
      </c>
      <c r="M295" s="9">
        <f>ROUND(K295*L295,0)</f>
        <v/>
      </c>
      <c r="N295" s="9" t="n">
        <v>38394</v>
      </c>
      <c r="O295" s="9">
        <f>N295-M295</f>
        <v/>
      </c>
      <c r="P295" s="8" t="inlineStr">
        <is>
          <t>MS2 Engineering submittal 10% x station price share 8.97% | Design stage key 6.9% of the engineering-submittal milestone</t>
        </is>
      </c>
      <c r="Q295" s="8" t="inlineStr">
        <is>
          <t>Annex 3 Design and engineering package (railway) allocated by station hardware share</t>
        </is>
      </c>
      <c r="R295" s="9" t="n">
        <v>61</v>
      </c>
      <c r="S295" s="19">
        <f>R295/1000</f>
        <v/>
      </c>
      <c r="T295" s="20" t="n">
        <v>46768</v>
      </c>
      <c r="U295" s="20" t="n">
        <v>46786</v>
      </c>
      <c r="V295" s="8" t="n">
        <v>15</v>
      </c>
    </row>
    <row r="296">
      <c r="A296" s="8" t="inlineStr">
        <is>
          <t>SH-DES</t>
        </is>
      </c>
      <c r="B296" s="8" t="inlineStr">
        <is>
          <t>Design and engineering package (per railway, allocated to the station)</t>
        </is>
      </c>
      <c r="C296" s="8" t="inlineStr">
        <is>
          <t>HKA-E1020</t>
        </is>
      </c>
      <c r="D296" s="8" t="inlineStr">
        <is>
          <t>Survey: SAR approval of survey report - KAEC</t>
        </is>
      </c>
      <c r="E296" s="8" t="inlineStr">
        <is>
          <t>ENG.HKA.SRV.APR</t>
        </is>
      </c>
      <c r="F296" s="8" t="inlineStr">
        <is>
          <t>Engineering</t>
        </is>
      </c>
      <c r="G296" s="8" t="inlineStr">
        <is>
          <t>HKA</t>
        </is>
      </c>
      <c r="H296" s="8" t="inlineStr">
        <is>
          <t>MS3</t>
        </is>
      </c>
      <c r="I296" s="16" t="n">
        <v>0.1</v>
      </c>
      <c r="J296" s="10">
        <f>Station_BOQ!R13</f>
        <v/>
      </c>
      <c r="K296" s="9">
        <f>I296*62000000*J296</f>
        <v/>
      </c>
      <c r="L296" s="18" t="n">
        <v>0.05</v>
      </c>
      <c r="M296" s="9">
        <f>ROUND(K296*L296,0)</f>
        <v/>
      </c>
      <c r="N296" s="9" t="n">
        <v>27822</v>
      </c>
      <c r="O296" s="9">
        <f>N296-M296</f>
        <v/>
      </c>
      <c r="P296" s="8" t="inlineStr">
        <is>
          <t>MS3 SAR approval of engineering 10% x station price share 8.97% | Design stage key 5.0% of the SAR-approval milestone</t>
        </is>
      </c>
      <c r="Q296" s="8" t="inlineStr">
        <is>
          <t>Annex 3 Design and engineering package (railway) allocated by station hardware share</t>
        </is>
      </c>
      <c r="R296" s="9" t="n">
        <v>41</v>
      </c>
      <c r="S296" s="19">
        <f>R296/1000</f>
        <v/>
      </c>
      <c r="T296" s="20" t="n">
        <v>46789</v>
      </c>
      <c r="U296" s="20" t="n">
        <v>46814</v>
      </c>
      <c r="V296" s="8" t="n">
        <v>15</v>
      </c>
    </row>
    <row r="297">
      <c r="A297" s="8" t="inlineStr">
        <is>
          <t>SH-DES</t>
        </is>
      </c>
      <c r="B297" s="8" t="inlineStr">
        <is>
          <t>Design and engineering package (per railway, allocated to the station)</t>
        </is>
      </c>
      <c r="C297" s="8" t="inlineStr">
        <is>
          <t>HKA-E1030</t>
        </is>
      </c>
      <c r="D297" s="8" t="inlineStr">
        <is>
          <t>Concept design: submittal - KAEC</t>
        </is>
      </c>
      <c r="E297" s="8" t="inlineStr">
        <is>
          <t>ENG.HKA.CNC.SUB</t>
        </is>
      </c>
      <c r="F297" s="8" t="inlineStr">
        <is>
          <t>Engineering</t>
        </is>
      </c>
      <c r="G297" s="8" t="inlineStr">
        <is>
          <t>HKA</t>
        </is>
      </c>
      <c r="H297" s="8" t="inlineStr">
        <is>
          <t>MS2</t>
        </is>
      </c>
      <c r="I297" s="16" t="n">
        <v>0.1</v>
      </c>
      <c r="J297" s="10">
        <f>Station_BOQ!R13</f>
        <v/>
      </c>
      <c r="K297" s="9">
        <f>I297*62000000*J297</f>
        <v/>
      </c>
      <c r="L297" s="18" t="n">
        <v>0.098</v>
      </c>
      <c r="M297" s="9">
        <f>ROUND(K297*L297,0)</f>
        <v/>
      </c>
      <c r="N297" s="9" t="n">
        <v>54531</v>
      </c>
      <c r="O297" s="9">
        <f>N297-M297</f>
        <v/>
      </c>
      <c r="P297" s="8" t="inlineStr">
        <is>
          <t>MS2 Engineering submittal 10% x station price share 8.97% | Design stage key 9.8% of the engineering-submittal milestone</t>
        </is>
      </c>
      <c r="Q297" s="8" t="inlineStr">
        <is>
          <t>Annex 3 Design and engineering package (railway) allocated by station hardware share</t>
        </is>
      </c>
      <c r="R297" s="9" t="n">
        <v>32</v>
      </c>
      <c r="S297" s="19">
        <f>R297/1000</f>
        <v/>
      </c>
      <c r="T297" s="20" t="n">
        <v>46789</v>
      </c>
      <c r="U297" s="20" t="n">
        <v>46797</v>
      </c>
      <c r="V297" s="8" t="n">
        <v>7</v>
      </c>
    </row>
    <row r="298">
      <c r="A298" s="8" t="inlineStr">
        <is>
          <t>SH-DES</t>
        </is>
      </c>
      <c r="B298" s="8" t="inlineStr">
        <is>
          <t>Design and engineering package (per railway, allocated to the station)</t>
        </is>
      </c>
      <c r="C298" s="8" t="inlineStr">
        <is>
          <t>HKA-E1040</t>
        </is>
      </c>
      <c r="D298" s="8" t="inlineStr">
        <is>
          <t>Concept design: SAR review and approval - KAEC</t>
        </is>
      </c>
      <c r="E298" s="8" t="inlineStr">
        <is>
          <t>ENG.HKA.CNC.APR</t>
        </is>
      </c>
      <c r="F298" s="8" t="inlineStr">
        <is>
          <t>Engineering</t>
        </is>
      </c>
      <c r="G298" s="8" t="inlineStr">
        <is>
          <t>HKA</t>
        </is>
      </c>
      <c r="H298" s="8" t="inlineStr">
        <is>
          <t>MS3</t>
        </is>
      </c>
      <c r="I298" s="16" t="n">
        <v>0.1</v>
      </c>
      <c r="J298" s="10">
        <f>Station_BOQ!R13</f>
        <v/>
      </c>
      <c r="K298" s="9">
        <f>I298*62000000*J298</f>
        <v/>
      </c>
      <c r="L298" s="18" t="n">
        <v>0.1</v>
      </c>
      <c r="M298" s="9">
        <f>ROUND(K298*L298,0)</f>
        <v/>
      </c>
      <c r="N298" s="9" t="n">
        <v>55644</v>
      </c>
      <c r="O298" s="9">
        <f>N298-M298</f>
        <v/>
      </c>
      <c r="P298" s="8" t="inlineStr">
        <is>
          <t>MS3 SAR approval of engineering 10% x station price share 8.97% | Design stage key 10.0% of the SAR-approval milestone</t>
        </is>
      </c>
      <c r="Q298" s="8" t="inlineStr">
        <is>
          <t>Annex 3 Design and engineering package (railway) allocated by station hardware share</t>
        </is>
      </c>
      <c r="R298" s="9" t="n">
        <v>69</v>
      </c>
      <c r="S298" s="19">
        <f>R298/1000</f>
        <v/>
      </c>
      <c r="T298" s="20" t="n">
        <v>46798</v>
      </c>
      <c r="U298" s="20" t="n">
        <v>46825</v>
      </c>
      <c r="V298" s="8" t="n">
        <v>15</v>
      </c>
    </row>
    <row r="299">
      <c r="A299" s="8" t="inlineStr">
        <is>
          <t>SH-DES</t>
        </is>
      </c>
      <c r="B299" s="8" t="inlineStr">
        <is>
          <t>Design and engineering package (per railway, allocated to the station)</t>
        </is>
      </c>
      <c r="C299" s="8" t="inlineStr">
        <is>
          <t>HKA-E1050</t>
        </is>
      </c>
      <c r="D299" s="8" t="inlineStr">
        <is>
          <t>Preliminary design: submittal - KAEC</t>
        </is>
      </c>
      <c r="E299" s="8" t="inlineStr">
        <is>
          <t>ENG.HKA.PRE.SUB</t>
        </is>
      </c>
      <c r="F299" s="8" t="inlineStr">
        <is>
          <t>Engineering</t>
        </is>
      </c>
      <c r="G299" s="8" t="inlineStr">
        <is>
          <t>HKA</t>
        </is>
      </c>
      <c r="H299" s="8" t="inlineStr">
        <is>
          <t>MS2</t>
        </is>
      </c>
      <c r="I299" s="16" t="n">
        <v>0.1</v>
      </c>
      <c r="J299" s="10">
        <f>Station_BOQ!R13</f>
        <v/>
      </c>
      <c r="K299" s="9">
        <f>I299*62000000*J299</f>
        <v/>
      </c>
      <c r="L299" s="18" t="n">
        <v>0.196</v>
      </c>
      <c r="M299" s="9">
        <f>ROUND(K299*L299,0)</f>
        <v/>
      </c>
      <c r="N299" s="9" t="n">
        <v>109062</v>
      </c>
      <c r="O299" s="9">
        <f>N299-M299</f>
        <v/>
      </c>
      <c r="P299" s="8" t="inlineStr">
        <is>
          <t>MS2 Engineering submittal 10% x station price share 8.97% | Design stage key 19.6% of the engineering-submittal milestone</t>
        </is>
      </c>
      <c r="Q299" s="8" t="inlineStr">
        <is>
          <t>Annex 3 Design and engineering package (railway) allocated by station hardware share</t>
        </is>
      </c>
      <c r="R299" s="9" t="n">
        <v>81</v>
      </c>
      <c r="S299" s="19">
        <f>R299/1000</f>
        <v/>
      </c>
      <c r="T299" s="20" t="n">
        <v>46798</v>
      </c>
      <c r="U299" s="20" t="n">
        <v>46820</v>
      </c>
      <c r="V299" s="8" t="n">
        <v>12</v>
      </c>
    </row>
    <row r="300">
      <c r="A300" s="8" t="inlineStr">
        <is>
          <t>SH-DES</t>
        </is>
      </c>
      <c r="B300" s="8" t="inlineStr">
        <is>
          <t>Design and engineering package (per railway, allocated to the station)</t>
        </is>
      </c>
      <c r="C300" s="8" t="inlineStr">
        <is>
          <t>HKA-E1060</t>
        </is>
      </c>
      <c r="D300" s="8" t="inlineStr">
        <is>
          <t>Preliminary design: SAR review and approval - KAEC</t>
        </is>
      </c>
      <c r="E300" s="8" t="inlineStr">
        <is>
          <t>ENG.HKA.PRE.APR</t>
        </is>
      </c>
      <c r="F300" s="8" t="inlineStr">
        <is>
          <t>Engineering</t>
        </is>
      </c>
      <c r="G300" s="8" t="inlineStr">
        <is>
          <t>HKA</t>
        </is>
      </c>
      <c r="H300" s="8" t="inlineStr">
        <is>
          <t>MS3</t>
        </is>
      </c>
      <c r="I300" s="16" t="n">
        <v>0.1</v>
      </c>
      <c r="J300" s="10">
        <f>Station_BOQ!R13</f>
        <v/>
      </c>
      <c r="K300" s="9">
        <f>I300*62000000*J300</f>
        <v/>
      </c>
      <c r="L300" s="18" t="n">
        <v>0.2</v>
      </c>
      <c r="M300" s="9">
        <f>ROUND(K300*L300,0)</f>
        <v/>
      </c>
      <c r="N300" s="9" t="n">
        <v>111288</v>
      </c>
      <c r="O300" s="9">
        <f>N300-M300</f>
        <v/>
      </c>
      <c r="P300" s="8" t="inlineStr">
        <is>
          <t>MS3 SAR approval of engineering 10% x station price share 8.97% | Design stage key 20.0% of the SAR-approval milestone</t>
        </is>
      </c>
      <c r="Q300" s="8" t="inlineStr">
        <is>
          <t>Annex 3 Design and engineering package (railway) allocated by station hardware share</t>
        </is>
      </c>
      <c r="R300" s="9" t="n">
        <v>101</v>
      </c>
      <c r="S300" s="19">
        <f>R300/1000</f>
        <v/>
      </c>
      <c r="T300" s="20" t="n">
        <v>46821</v>
      </c>
      <c r="U300" s="20" t="n">
        <v>46841</v>
      </c>
      <c r="V300" s="8" t="n">
        <v>15</v>
      </c>
    </row>
    <row r="301">
      <c r="A301" s="8" t="inlineStr">
        <is>
          <t>SH-DES</t>
        </is>
      </c>
      <c r="B301" s="8" t="inlineStr">
        <is>
          <t>Design and engineering package (per railway, allocated to the station)</t>
        </is>
      </c>
      <c r="C301" s="8" t="inlineStr">
        <is>
          <t>HKA-E1070</t>
        </is>
      </c>
      <c r="D301" s="8" t="inlineStr">
        <is>
          <t>Detailed design: submittal (drawings, BOQ, data sheets) - KAEC</t>
        </is>
      </c>
      <c r="E301" s="8" t="inlineStr">
        <is>
          <t>ENG.HKA.DET.SUB</t>
        </is>
      </c>
      <c r="F301" s="8" t="inlineStr">
        <is>
          <t>Engineering</t>
        </is>
      </c>
      <c r="G301" s="8" t="inlineStr">
        <is>
          <t>HKA</t>
        </is>
      </c>
      <c r="H301" s="8" t="inlineStr">
        <is>
          <t>MS2</t>
        </is>
      </c>
      <c r="I301" s="16" t="n">
        <v>0.1</v>
      </c>
      <c r="J301" s="10">
        <f>Station_BOQ!R13</f>
        <v/>
      </c>
      <c r="K301" s="9">
        <f>I301*62000000*J301</f>
        <v/>
      </c>
      <c r="L301" s="18" t="n">
        <v>0.392</v>
      </c>
      <c r="M301" s="9">
        <f>ROUND(K301*L301,0)</f>
        <v/>
      </c>
      <c r="N301" s="9" t="n">
        <v>218124</v>
      </c>
      <c r="O301" s="9">
        <f>N301-M301</f>
        <v/>
      </c>
      <c r="P301" s="8" t="inlineStr">
        <is>
          <t>MS2 Engineering submittal 10% x station price share 8.97% | Design stage key 39.2% of the engineering-submittal milestone</t>
        </is>
      </c>
      <c r="Q301" s="8" t="inlineStr">
        <is>
          <t>Annex 3 Design and engineering package (railway) allocated by station hardware share</t>
        </is>
      </c>
      <c r="R301" s="9" t="n">
        <v>170</v>
      </c>
      <c r="S301" s="19">
        <f>R301/1000</f>
        <v/>
      </c>
      <c r="T301" s="20" t="n">
        <v>46821</v>
      </c>
      <c r="U301" s="20" t="n">
        <v>46847</v>
      </c>
      <c r="V301" s="8" t="n">
        <v>19</v>
      </c>
    </row>
    <row r="302">
      <c r="A302" s="8" t="inlineStr">
        <is>
          <t>SH-DES</t>
        </is>
      </c>
      <c r="B302" s="8" t="inlineStr">
        <is>
          <t>Design and engineering package (per railway, allocated to the station)</t>
        </is>
      </c>
      <c r="C302" s="8" t="inlineStr">
        <is>
          <t>HKA-E1080</t>
        </is>
      </c>
      <c r="D302" s="8" t="inlineStr">
        <is>
          <t>Detailed design: SAR review and approval - KAEC</t>
        </is>
      </c>
      <c r="E302" s="8" t="inlineStr">
        <is>
          <t>ENG.HKA.DET.APR</t>
        </is>
      </c>
      <c r="F302" s="8" t="inlineStr">
        <is>
          <t>Engineering</t>
        </is>
      </c>
      <c r="G302" s="8" t="inlineStr">
        <is>
          <t>HKA</t>
        </is>
      </c>
      <c r="H302" s="8" t="inlineStr">
        <is>
          <t>MS3</t>
        </is>
      </c>
      <c r="I302" s="16" t="n">
        <v>0.1</v>
      </c>
      <c r="J302" s="10">
        <f>Station_BOQ!R13</f>
        <v/>
      </c>
      <c r="K302" s="9">
        <f>I302*62000000*J302</f>
        <v/>
      </c>
      <c r="L302" s="18" t="n">
        <v>0.4</v>
      </c>
      <c r="M302" s="9">
        <f>ROUND(K302*L302,0)</f>
        <v/>
      </c>
      <c r="N302" s="9" t="n">
        <v>222575</v>
      </c>
      <c r="O302" s="9">
        <f>N302-M302</f>
        <v/>
      </c>
      <c r="P302" s="8" t="inlineStr">
        <is>
          <t>MS3 SAR approval of engineering 10% x station price share 8.97% | Design stage key 40.0% of the SAR-approval milestone</t>
        </is>
      </c>
      <c r="Q302" s="8" t="inlineStr">
        <is>
          <t>Annex 3 Design and engineering package (railway) allocated by station hardware share</t>
        </is>
      </c>
      <c r="R302" s="9" t="n">
        <v>134</v>
      </c>
      <c r="S302" s="19">
        <f>R302/1000</f>
        <v/>
      </c>
      <c r="T302" s="20" t="n">
        <v>46848</v>
      </c>
      <c r="U302" s="20" t="n">
        <v>46868</v>
      </c>
      <c r="V302" s="8" t="n">
        <v>15</v>
      </c>
    </row>
    <row r="303">
      <c r="A303" s="8" t="inlineStr">
        <is>
          <t>SH-DES</t>
        </is>
      </c>
      <c r="B303" s="8" t="inlineStr">
        <is>
          <t>Design and engineering package (per railway, allocated to the station)</t>
        </is>
      </c>
      <c r="C303" s="8" t="inlineStr">
        <is>
          <t>HKA-E1090</t>
        </is>
      </c>
      <c r="D303" s="8" t="inlineStr">
        <is>
          <t>IFC and shop drawings: submittal - KAEC</t>
        </is>
      </c>
      <c r="E303" s="8" t="inlineStr">
        <is>
          <t>ENG.HKA.IFC.SUB</t>
        </is>
      </c>
      <c r="F303" s="8" t="inlineStr">
        <is>
          <t>Engineering</t>
        </is>
      </c>
      <c r="G303" s="8" t="inlineStr">
        <is>
          <t>HKA</t>
        </is>
      </c>
      <c r="H303" s="8" t="inlineStr">
        <is>
          <t>MS2</t>
        </is>
      </c>
      <c r="I303" s="16" t="n">
        <v>0.1</v>
      </c>
      <c r="J303" s="10">
        <f>Station_BOQ!R13</f>
        <v/>
      </c>
      <c r="K303" s="9">
        <f>I303*62000000*J303</f>
        <v/>
      </c>
      <c r="L303" s="18" t="n">
        <v>0.196</v>
      </c>
      <c r="M303" s="9">
        <f>ROUND(K303*L303,0)</f>
        <v/>
      </c>
      <c r="N303" s="9" t="n">
        <v>109062</v>
      </c>
      <c r="O303" s="9">
        <f>N303-M303</f>
        <v/>
      </c>
      <c r="P303" s="8" t="inlineStr">
        <is>
          <t>MS2 Engineering submittal 10% x station price share 8.97% | Design stage key 19.6% of the engineering-submittal milestone</t>
        </is>
      </c>
      <c r="Q303" s="8" t="inlineStr">
        <is>
          <t>Annex 3 Design and engineering package (railway) allocated by station hardware share</t>
        </is>
      </c>
      <c r="R303" s="9" t="n">
        <v>68</v>
      </c>
      <c r="S303" s="19">
        <f>R303/1000</f>
        <v/>
      </c>
      <c r="T303" s="20" t="n">
        <v>46848</v>
      </c>
      <c r="U303" s="20" t="n">
        <v>46860</v>
      </c>
      <c r="V303" s="8" t="n">
        <v>9</v>
      </c>
    </row>
    <row r="304">
      <c r="A304" s="8" t="inlineStr">
        <is>
          <t>SH-DES</t>
        </is>
      </c>
      <c r="B304" s="8" t="inlineStr">
        <is>
          <t>Design and engineering package (per railway, allocated to the station)</t>
        </is>
      </c>
      <c r="C304" s="8" t="inlineStr">
        <is>
          <t>HKA-E1100</t>
        </is>
      </c>
      <c r="D304" s="8" t="inlineStr">
        <is>
          <t>IFC and shop drawings: SAR approval and release - KAEC</t>
        </is>
      </c>
      <c r="E304" s="8" t="inlineStr">
        <is>
          <t>ENG.HKA.IFC.APR</t>
        </is>
      </c>
      <c r="F304" s="8" t="inlineStr">
        <is>
          <t>Engineering</t>
        </is>
      </c>
      <c r="G304" s="8" t="inlineStr">
        <is>
          <t>HKA</t>
        </is>
      </c>
      <c r="H304" s="8" t="inlineStr">
        <is>
          <t>MS3</t>
        </is>
      </c>
      <c r="I304" s="16" t="n">
        <v>0.1</v>
      </c>
      <c r="J304" s="10">
        <f>Station_BOQ!R13</f>
        <v/>
      </c>
      <c r="K304" s="9">
        <f>I304*62000000*J304</f>
        <v/>
      </c>
      <c r="L304" s="18" t="n">
        <v>0.2</v>
      </c>
      <c r="M304" s="9">
        <f>ROUND(K304*L304,0)</f>
        <v/>
      </c>
      <c r="N304" s="9" t="n">
        <v>111288</v>
      </c>
      <c r="O304" s="9">
        <f>N304-M304</f>
        <v/>
      </c>
      <c r="P304" s="8" t="inlineStr">
        <is>
          <t>MS3 SAR approval of engineering 10% x station price share 8.97% | Design stage key 20.0% of the SAR-approval milestone</t>
        </is>
      </c>
      <c r="Q304" s="8" t="inlineStr">
        <is>
          <t>Annex 3 Design and engineering package (railway) allocated by station hardware share</t>
        </is>
      </c>
      <c r="R304" s="9" t="n">
        <v>114</v>
      </c>
      <c r="S304" s="19">
        <f>R304/1000</f>
        <v/>
      </c>
      <c r="T304" s="20" t="n">
        <v>46861</v>
      </c>
      <c r="U304" s="20" t="n">
        <v>46888</v>
      </c>
      <c r="V304" s="8" t="n">
        <v>15</v>
      </c>
    </row>
    <row r="305">
      <c r="A305" s="8" t="inlineStr">
        <is>
          <t>SH-DES</t>
        </is>
      </c>
      <c r="B305" s="8" t="inlineStr">
        <is>
          <t>Design and engineering package (per railway, allocated to the station)</t>
        </is>
      </c>
      <c r="C305" s="8" t="inlineStr">
        <is>
          <t>HKA-E1110</t>
        </is>
      </c>
      <c r="D305" s="8" t="inlineStr">
        <is>
          <t>HCIS Stage 3 and 4 documents: preparation - KAEC</t>
        </is>
      </c>
      <c r="E305" s="8" t="inlineStr">
        <is>
          <t>ENG.HKA.HCS.SUB</t>
        </is>
      </c>
      <c r="F305" s="8" t="inlineStr">
        <is>
          <t>Engineering</t>
        </is>
      </c>
      <c r="G305" s="8" t="inlineStr">
        <is>
          <t>HKA</t>
        </is>
      </c>
      <c r="H305" s="8" t="inlineStr">
        <is>
          <t>MS2</t>
        </is>
      </c>
      <c r="I305" s="16" t="n">
        <v>0.1</v>
      </c>
      <c r="J305" s="10">
        <f>Station_BOQ!R13</f>
        <v/>
      </c>
      <c r="K305" s="9">
        <f>I305*62000000*J305</f>
        <v/>
      </c>
      <c r="L305" s="18" t="n">
        <v>0.049</v>
      </c>
      <c r="M305" s="9">
        <f>ROUND(K305*L305,0)</f>
        <v/>
      </c>
      <c r="N305" s="9" t="n">
        <v>27265</v>
      </c>
      <c r="O305" s="9">
        <f>N305-M305</f>
        <v/>
      </c>
      <c r="P305" s="8" t="inlineStr">
        <is>
          <t>MS2 Engineering submittal 10% x station price share 8.97% | Design stage key 4.9% of the engineering-submittal milestone</t>
        </is>
      </c>
      <c r="Q305" s="8" t="inlineStr">
        <is>
          <t>Annex 3 Design and engineering package (railway) allocated by station hardware share</t>
        </is>
      </c>
      <c r="R305" s="9" t="n">
        <v>35</v>
      </c>
      <c r="S305" s="19">
        <f>R305/1000</f>
        <v/>
      </c>
      <c r="T305" s="20" t="n">
        <v>46832</v>
      </c>
      <c r="U305" s="20" t="n">
        <v>46860</v>
      </c>
      <c r="V305" s="8" t="n">
        <v>21</v>
      </c>
    </row>
    <row r="306">
      <c r="A306" s="8" t="inlineStr">
        <is>
          <t>SH-DES</t>
        </is>
      </c>
      <c r="B306" s="8" t="inlineStr">
        <is>
          <t>Design and engineering package (per railway, allocated to the station)</t>
        </is>
      </c>
      <c r="C306" s="8" t="inlineStr">
        <is>
          <t>HKA-E1120</t>
        </is>
      </c>
      <c r="D306" s="8" t="inlineStr">
        <is>
          <t>HCIS Stage 3 and 4 documents: SAR final review and HCIS submission - KAEC</t>
        </is>
      </c>
      <c r="E306" s="8" t="inlineStr">
        <is>
          <t>ENG.HKA.HCS.APR</t>
        </is>
      </c>
      <c r="F306" s="8" t="inlineStr">
        <is>
          <t>Engineering</t>
        </is>
      </c>
      <c r="G306" s="8" t="inlineStr">
        <is>
          <t>HKA</t>
        </is>
      </c>
      <c r="H306" s="8" t="inlineStr">
        <is>
          <t>MS3</t>
        </is>
      </c>
      <c r="I306" s="16" t="n">
        <v>0.1</v>
      </c>
      <c r="J306" s="10">
        <f>Station_BOQ!R13</f>
        <v/>
      </c>
      <c r="K306" s="9">
        <f>I306*62000000*J306</f>
        <v/>
      </c>
      <c r="L306" s="18" t="n">
        <v>0.05</v>
      </c>
      <c r="M306" s="9">
        <f>ROUND(K306*L306,0)</f>
        <v/>
      </c>
      <c r="N306" s="9" t="n">
        <v>27822</v>
      </c>
      <c r="O306" s="9">
        <f>N306-M306</f>
        <v/>
      </c>
      <c r="P306" s="8" t="inlineStr">
        <is>
          <t>MS3 SAR approval of engineering 10% x station price share 8.97% | Design stage key 5.0% of the SAR-approval milestone</t>
        </is>
      </c>
      <c r="Q306" s="8" t="inlineStr">
        <is>
          <t>Annex 3 Design and engineering package (railway) allocated by station hardware share</t>
        </is>
      </c>
      <c r="R306" s="9" t="n">
        <v>25</v>
      </c>
      <c r="S306" s="19">
        <f>R306/1000</f>
        <v/>
      </c>
      <c r="T306" s="20" t="n">
        <v>46861</v>
      </c>
      <c r="U306" s="20" t="n">
        <v>46888</v>
      </c>
      <c r="V306" s="8" t="n">
        <v>15</v>
      </c>
    </row>
    <row r="307">
      <c r="A307" s="8" t="inlineStr">
        <is>
          <t>SH-DES, SH-TRN</t>
        </is>
      </c>
      <c r="B307" s="8" t="inlineStr">
        <is>
          <t>Design and engineering package (per railway, allocated to the station) and Training (per railway, allocated): documentation and training share</t>
        </is>
      </c>
      <c r="C307" s="8" t="inlineStr">
        <is>
          <t>HKA-E1130</t>
        </is>
      </c>
      <c r="D307" s="8" t="inlineStr">
        <is>
          <t>As-built and O&amp;M documentation: submittal - KAEC</t>
        </is>
      </c>
      <c r="E307" s="8" t="inlineStr">
        <is>
          <t>ENG.HKA.ASB.SUB</t>
        </is>
      </c>
      <c r="F307" s="8" t="inlineStr">
        <is>
          <t>Engineering</t>
        </is>
      </c>
      <c r="G307" s="8" t="inlineStr">
        <is>
          <t>HKA</t>
        </is>
      </c>
      <c r="H307" s="8" t="inlineStr">
        <is>
          <t>MS7</t>
        </is>
      </c>
      <c r="I307" s="16" t="n">
        <v>0.1</v>
      </c>
      <c r="J307" s="10">
        <f>Station_BOQ!R13</f>
        <v/>
      </c>
      <c r="K307" s="9">
        <f>I307*62000000*J307</f>
        <v/>
      </c>
      <c r="L307" s="18" t="n">
        <v>0.15</v>
      </c>
      <c r="M307" s="9">
        <f>ROUND(K307*L307,0)</f>
        <v/>
      </c>
      <c r="N307" s="9" t="n">
        <v>83466</v>
      </c>
      <c r="O307" s="9">
        <f>N307-M307</f>
        <v/>
      </c>
      <c r="P307" s="8" t="inlineStr">
        <is>
          <t>MS7 Final acceptance and handover 10% x station price share 8.97% | Fixed key 15% of final-acceptance milestone</t>
        </is>
      </c>
      <c r="Q307" s="8" t="inlineStr">
        <is>
          <t>Annex 3 documentation and training share</t>
        </is>
      </c>
      <c r="R307" s="9" t="n">
        <v>71</v>
      </c>
      <c r="S307" s="19">
        <f>R307/1000</f>
        <v/>
      </c>
      <c r="T307" s="20" t="n">
        <v>47127</v>
      </c>
      <c r="U307" s="20" t="n">
        <v>47183</v>
      </c>
      <c r="V307" s="8" t="n">
        <v>35</v>
      </c>
    </row>
    <row r="308">
      <c r="A308" s="8" t="inlineStr">
        <is>
          <t>SH-DES</t>
        </is>
      </c>
      <c r="B308" s="8" t="inlineStr">
        <is>
          <t>Design and engineering package (per railway, allocated to the station): documentation share</t>
        </is>
      </c>
      <c r="C308" s="8" t="inlineStr">
        <is>
          <t>HKA-E1140</t>
        </is>
      </c>
      <c r="D308" s="8" t="inlineStr">
        <is>
          <t>As-built and O&amp;M documentation: SAR review and approval - KAEC</t>
        </is>
      </c>
      <c r="E308" s="8" t="inlineStr">
        <is>
          <t>ENG.HKA.ASB.APR</t>
        </is>
      </c>
      <c r="F308" s="8" t="inlineStr">
        <is>
          <t>Engineering</t>
        </is>
      </c>
      <c r="G308" s="8" t="inlineStr">
        <is>
          <t>HKA</t>
        </is>
      </c>
      <c r="H308" s="8" t="inlineStr">
        <is>
          <t>MS7</t>
        </is>
      </c>
      <c r="I308" s="16" t="n">
        <v>0.1</v>
      </c>
      <c r="J308" s="10">
        <f>Station_BOQ!R13</f>
        <v/>
      </c>
      <c r="K308" s="9">
        <f>I308*62000000*J308</f>
        <v/>
      </c>
      <c r="L308" s="18" t="n">
        <v>0.05</v>
      </c>
      <c r="M308" s="9">
        <f>ROUND(K308*L308,0)</f>
        <v/>
      </c>
      <c r="N308" s="9" t="n">
        <v>27822</v>
      </c>
      <c r="O308" s="9">
        <f>N308-M308</f>
        <v/>
      </c>
      <c r="P308" s="8" t="inlineStr">
        <is>
          <t>MS7 Final acceptance and handover 10% x station price share 8.97% | Fixed key 5%</t>
        </is>
      </c>
      <c r="Q308" s="8" t="inlineStr">
        <is>
          <t>Annex 3 documentation share</t>
        </is>
      </c>
      <c r="R308" s="9" t="n">
        <v>30</v>
      </c>
      <c r="S308" s="19">
        <f>R308/1000</f>
        <v/>
      </c>
      <c r="T308" s="20" t="n">
        <v>47184</v>
      </c>
      <c r="U308" s="20" t="n">
        <v>47204</v>
      </c>
      <c r="V308" s="8" t="n">
        <v>15</v>
      </c>
    </row>
    <row r="309">
      <c r="A309" s="8" t="inlineStr">
        <is>
          <t>-</t>
        </is>
      </c>
      <c r="B309" s="8" t="inlineStr">
        <is>
          <t>No BOQ cost: administrative or review step with no payment milestone</t>
        </is>
      </c>
      <c r="C309" s="8" t="inlineStr">
        <is>
          <t>HKA-X1010</t>
        </is>
      </c>
      <c r="D309" s="8" t="inlineStr">
        <is>
          <t>Enabling works: site preparation, setting out, temporary works and utilities clearance - KAEC</t>
        </is>
      </c>
      <c r="E309" s="8" t="inlineStr">
        <is>
          <t>CON.HKA.ENA</t>
        </is>
      </c>
      <c r="F309" s="8" t="inlineStr">
        <is>
          <t>Construction</t>
        </is>
      </c>
      <c r="G309" s="8" t="inlineStr">
        <is>
          <t>HKA</t>
        </is>
      </c>
      <c r="H309" s="8" t="inlineStr">
        <is>
          <t>MS5</t>
        </is>
      </c>
      <c r="I309" s="16" t="n">
        <v>0.2</v>
      </c>
      <c r="J309" s="10">
        <f>Station_BOQ!R13</f>
        <v/>
      </c>
      <c r="K309" s="9">
        <f>I309*62000000*J309</f>
        <v/>
      </c>
      <c r="L309" s="18" t="n">
        <v>0.002313101700411817</v>
      </c>
      <c r="M309" s="9">
        <f>ROUND(K309*L309,0)</f>
        <v/>
      </c>
      <c r="N309" s="9" t="n">
        <v>2574</v>
      </c>
      <c r="O309" s="9">
        <f>N309-M309</f>
        <v/>
      </c>
      <c r="P309" s="8" t="inlineStr">
        <is>
          <t>MS5 Installation 20% x station price share 8.97% | BOQ civil share 5.8% x 4% (enabling: site preparation)</t>
        </is>
      </c>
      <c r="Q309" s="8" t="inlineStr">
        <is>
          <t>Annex 3 A6 Civil works (SAR 187,054)</t>
        </is>
      </c>
      <c r="R309" s="9" t="n">
        <v>86</v>
      </c>
      <c r="S309" s="19">
        <f>R309/1000</f>
        <v/>
      </c>
      <c r="T309" s="20" t="n">
        <v>46889</v>
      </c>
      <c r="U309" s="20" t="n">
        <v>46895</v>
      </c>
      <c r="V309" s="8" t="n">
        <v>5</v>
      </c>
    </row>
    <row r="310">
      <c r="A310" s="8" t="inlineStr">
        <is>
          <t>-</t>
        </is>
      </c>
      <c r="B310" s="8" t="inlineStr">
        <is>
          <t>No BOQ cost: administrative or review step with no payment milestone</t>
        </is>
      </c>
      <c r="C310" s="8" t="inlineStr">
        <is>
          <t>HKA-X1020</t>
        </is>
      </c>
      <c r="D310" s="8" t="inlineStr">
        <is>
          <t>Enabling works: cable routes, duct-bank and cabinet plinth preparation - KAEC</t>
        </is>
      </c>
      <c r="E310" s="8" t="inlineStr">
        <is>
          <t>CON.HKA.ENA</t>
        </is>
      </c>
      <c r="F310" s="8" t="inlineStr">
        <is>
          <t>Construction</t>
        </is>
      </c>
      <c r="G310" s="8" t="inlineStr">
        <is>
          <t>HKA</t>
        </is>
      </c>
      <c r="H310" s="8" t="inlineStr">
        <is>
          <t>MS5</t>
        </is>
      </c>
      <c r="I310" s="16" t="n">
        <v>0.2</v>
      </c>
      <c r="J310" s="10">
        <f>Station_BOQ!R13</f>
        <v/>
      </c>
      <c r="K310" s="9">
        <f>I310*62000000*J310</f>
        <v/>
      </c>
      <c r="L310" s="18" t="n">
        <v>0.003469652550617726</v>
      </c>
      <c r="M310" s="9">
        <f>ROUND(K310*L310,0)</f>
        <v/>
      </c>
      <c r="N310" s="9" t="n">
        <v>3861</v>
      </c>
      <c r="O310" s="9">
        <f>N310-M310</f>
        <v/>
      </c>
      <c r="P310" s="8" t="inlineStr">
        <is>
          <t>MS5 Installation 20% x station price share 8.97% | BOQ civil share 5.8% x 6% (enabling: routes, ducts, plinths)</t>
        </is>
      </c>
      <c r="Q310" s="8" t="inlineStr">
        <is>
          <t>Annex 3 A6 Civil works (SAR 187,054)</t>
        </is>
      </c>
      <c r="R310" s="9" t="n">
        <v>129</v>
      </c>
      <c r="S310" s="19">
        <f>R310/1000</f>
        <v/>
      </c>
      <c r="T310" s="20" t="n">
        <v>46896</v>
      </c>
      <c r="U310" s="20" t="n">
        <v>46909</v>
      </c>
      <c r="V310" s="8" t="n">
        <v>10</v>
      </c>
    </row>
    <row r="311">
      <c r="A311" s="8" t="inlineStr">
        <is>
          <t>A1</t>
        </is>
      </c>
      <c r="B311" s="8" t="inlineStr">
        <is>
          <t>A1 CCTV system</t>
        </is>
      </c>
      <c r="C311" s="8" t="inlineStr">
        <is>
          <t>HKA-P1010</t>
        </is>
      </c>
      <c r="D311" s="8" t="inlineStr">
        <is>
          <t>Manufacture CCTV cameras and analytics - KAEC</t>
        </is>
      </c>
      <c r="E311" s="8" t="inlineStr">
        <is>
          <t>PRO.HKA.CCT</t>
        </is>
      </c>
      <c r="F311" s="8" t="inlineStr">
        <is>
          <t>Procurement</t>
        </is>
      </c>
      <c r="G311" s="8" t="inlineStr">
        <is>
          <t>HKA</t>
        </is>
      </c>
      <c r="H311" s="8" t="inlineStr">
        <is>
          <t>MS4</t>
        </is>
      </c>
      <c r="I311" s="16" t="n">
        <v>0.2</v>
      </c>
      <c r="J311" s="10">
        <f>Station_BOQ!R13</f>
        <v/>
      </c>
      <c r="K311" s="9">
        <f>I311*62000000*J311</f>
        <v/>
      </c>
      <c r="L311" s="18" t="n">
        <v>0.2367507012819457</v>
      </c>
      <c r="M311" s="9">
        <f>ROUND(K311*L311,0)</f>
        <v/>
      </c>
      <c r="N311" s="9" t="n">
        <v>263474</v>
      </c>
      <c r="O311" s="9">
        <f>N311-M311</f>
        <v/>
      </c>
      <c r="P311" s="8" t="inlineStr">
        <is>
          <t>MS4 Material delivery 20% x station price share 8.97% | BOQ section share 31.6% of station equipment x 75% (manufacture)</t>
        </is>
      </c>
      <c r="Q311" s="8" t="inlineStr">
        <is>
          <t>Annex 3 A1 CCTV system (SAR 962,039)</t>
        </is>
      </c>
      <c r="R311" s="9" t="n">
        <v>653</v>
      </c>
      <c r="S311" s="19">
        <f>R311/1000</f>
        <v/>
      </c>
      <c r="T311" s="20" t="n">
        <v>46889</v>
      </c>
      <c r="U311" s="20" t="n">
        <v>46972</v>
      </c>
      <c r="V311" s="8" t="n">
        <v>60</v>
      </c>
    </row>
    <row r="312">
      <c r="A312" s="8" t="inlineStr">
        <is>
          <t>A2</t>
        </is>
      </c>
      <c r="B312" s="8" t="inlineStr">
        <is>
          <t>A2 Video management and video wall</t>
        </is>
      </c>
      <c r="C312" s="8" t="inlineStr">
        <is>
          <t>HKA-P1020</t>
        </is>
      </c>
      <c r="D312" s="8" t="inlineStr">
        <is>
          <t>Manufacture video management servers, storage and video wall - KAEC</t>
        </is>
      </c>
      <c r="E312" s="8" t="inlineStr">
        <is>
          <t>PRO.HKA.VMS</t>
        </is>
      </c>
      <c r="F312" s="8" t="inlineStr">
        <is>
          <t>Procurement</t>
        </is>
      </c>
      <c r="G312" s="8" t="inlineStr">
        <is>
          <t>HKA</t>
        </is>
      </c>
      <c r="H312" s="8" t="inlineStr">
        <is>
          <t>MS4</t>
        </is>
      </c>
      <c r="I312" s="16" t="n">
        <v>0.2</v>
      </c>
      <c r="J312" s="10">
        <f>Station_BOQ!R13</f>
        <v/>
      </c>
      <c r="K312" s="9">
        <f>I312*62000000*J312</f>
        <v/>
      </c>
      <c r="L312" s="18" t="n">
        <v>0.1000031827979287</v>
      </c>
      <c r="M312" s="9">
        <f>ROUND(K312*L312,0)</f>
        <v/>
      </c>
      <c r="N312" s="9" t="n">
        <v>111291</v>
      </c>
      <c r="O312" s="9">
        <f>N312-M312</f>
        <v/>
      </c>
      <c r="P312" s="8" t="inlineStr">
        <is>
          <t>MS4 Material delivery 20% x station price share 8.97% | BOQ section share 13.3% of station equipment x 75% (manufacture)</t>
        </is>
      </c>
      <c r="Q312" s="8" t="inlineStr">
        <is>
          <t>Annex 3 A2 Video management and wall (SAR 406,364)</t>
        </is>
      </c>
      <c r="R312" s="9" t="n">
        <v>276</v>
      </c>
      <c r="S312" s="19">
        <f>R312/1000</f>
        <v/>
      </c>
      <c r="T312" s="20" t="n">
        <v>46889</v>
      </c>
      <c r="U312" s="20" t="n">
        <v>46972</v>
      </c>
      <c r="V312" s="8" t="n">
        <v>60</v>
      </c>
    </row>
    <row r="313">
      <c r="A313" s="8" t="inlineStr">
        <is>
          <t>A3</t>
        </is>
      </c>
      <c r="B313" s="8" t="inlineStr">
        <is>
          <t>A3 Access control and intercom</t>
        </is>
      </c>
      <c r="C313" s="8" t="inlineStr">
        <is>
          <t>HKA-P1030</t>
        </is>
      </c>
      <c r="D313" s="8" t="inlineStr">
        <is>
          <t>Manufacture access control and intercom equipment - KAEC</t>
        </is>
      </c>
      <c r="E313" s="8" t="inlineStr">
        <is>
          <t>PRO.HKA.ACC</t>
        </is>
      </c>
      <c r="F313" s="8" t="inlineStr">
        <is>
          <t>Procurement</t>
        </is>
      </c>
      <c r="G313" s="8" t="inlineStr">
        <is>
          <t>HKA</t>
        </is>
      </c>
      <c r="H313" s="8" t="inlineStr">
        <is>
          <t>MS4</t>
        </is>
      </c>
      <c r="I313" s="16" t="n">
        <v>0.2</v>
      </c>
      <c r="J313" s="10">
        <f>Station_BOQ!R13</f>
        <v/>
      </c>
      <c r="K313" s="9">
        <f>I313*62000000*J313</f>
        <v/>
      </c>
      <c r="L313" s="18" t="n">
        <v>0.01084899330070254</v>
      </c>
      <c r="M313" s="9">
        <f>ROUND(K313*L313,0)</f>
        <v/>
      </c>
      <c r="N313" s="9" t="n">
        <v>12074</v>
      </c>
      <c r="O313" s="9">
        <f>N313-M313</f>
        <v/>
      </c>
      <c r="P313" s="8" t="inlineStr">
        <is>
          <t>MS4 Material delivery 20% x station price share 8.97% | BOQ section share 1.4% of station equipment x 75% (manufacture)</t>
        </is>
      </c>
      <c r="Q313" s="8" t="inlineStr">
        <is>
          <t>Annex 3 A3 Access control and intercom (SAR 44,085)</t>
        </is>
      </c>
      <c r="R313" s="9" t="n">
        <v>30</v>
      </c>
      <c r="S313" s="19">
        <f>R313/1000</f>
        <v/>
      </c>
      <c r="T313" s="20" t="n">
        <v>46889</v>
      </c>
      <c r="U313" s="20" t="n">
        <v>46972</v>
      </c>
      <c r="V313" s="8" t="n">
        <v>60</v>
      </c>
    </row>
    <row r="314">
      <c r="A314" s="8" t="inlineStr">
        <is>
          <t>A4, A5</t>
        </is>
      </c>
      <c r="B314" s="8" t="inlineStr">
        <is>
          <t>A4 UPS and A5 Poles, cabinets and network</t>
        </is>
      </c>
      <c r="C314" s="8" t="inlineStr">
        <is>
          <t>HKA-P1040</t>
        </is>
      </c>
      <c r="D314" s="8" t="inlineStr">
        <is>
          <t>Manufacture UPS, network switches and field cabinets - KAEC</t>
        </is>
      </c>
      <c r="E314" s="8" t="inlineStr">
        <is>
          <t>PRO.HKA.UPN</t>
        </is>
      </c>
      <c r="F314" s="8" t="inlineStr">
        <is>
          <t>Procurement</t>
        </is>
      </c>
      <c r="G314" s="8" t="inlineStr">
        <is>
          <t>HKA</t>
        </is>
      </c>
      <c r="H314" s="8" t="inlineStr">
        <is>
          <t>MS4</t>
        </is>
      </c>
      <c r="I314" s="16" t="n">
        <v>0.2</v>
      </c>
      <c r="J314" s="10">
        <f>Station_BOQ!R13</f>
        <v/>
      </c>
      <c r="K314" s="9">
        <f>I314*62000000*J314</f>
        <v/>
      </c>
      <c r="L314" s="18" t="n">
        <v>0.402397122619423</v>
      </c>
      <c r="M314" s="9">
        <f>ROUND(K314*L314,0)</f>
        <v/>
      </c>
      <c r="N314" s="9" t="n">
        <v>447818</v>
      </c>
      <c r="O314" s="9">
        <f>N314-M314</f>
        <v/>
      </c>
      <c r="P314" s="8" t="inlineStr">
        <is>
          <t>MS4 Material delivery 20% x station price share 8.97% | BOQ section share 53.7% of station equipment x 75% (manufacture)</t>
        </is>
      </c>
      <c r="Q314" s="8" t="inlineStr">
        <is>
          <t>Annex 3 A4 UPS + A5 poles, cabinets and network (SAR 1,635,145)</t>
        </is>
      </c>
      <c r="R314" s="9" t="n">
        <v>1110</v>
      </c>
      <c r="S314" s="19">
        <f>R314/1000</f>
        <v/>
      </c>
      <c r="T314" s="20" t="n">
        <v>46889</v>
      </c>
      <c r="U314" s="20" t="n">
        <v>46972</v>
      </c>
      <c r="V314" s="8" t="n">
        <v>60</v>
      </c>
    </row>
    <row r="315">
      <c r="A315" s="8" t="inlineStr">
        <is>
          <t>SH-FAT</t>
        </is>
      </c>
      <c r="B315" s="8" t="inlineStr">
        <is>
          <t>Factory acceptance test (per railway, allocated)</t>
        </is>
      </c>
      <c r="C315" s="8" t="inlineStr">
        <is>
          <t>HKA-P1050</t>
        </is>
      </c>
      <c r="D315" s="8" t="inlineStr">
        <is>
          <t>Factory acceptance test at vendor premises - KAEC</t>
        </is>
      </c>
      <c r="E315" s="8" t="inlineStr">
        <is>
          <t>PRO.HKA.LOG</t>
        </is>
      </c>
      <c r="F315" s="8" t="inlineStr">
        <is>
          <t>Procurement</t>
        </is>
      </c>
      <c r="G315" s="8" t="inlineStr">
        <is>
          <t>HKA</t>
        </is>
      </c>
      <c r="H315" s="8" t="inlineStr">
        <is>
          <t>MS4</t>
        </is>
      </c>
      <c r="I315" s="16" t="n">
        <v>0.2</v>
      </c>
      <c r="J315" s="10">
        <f>Station_BOQ!R13</f>
        <v/>
      </c>
      <c r="K315" s="9">
        <f>I315*62000000*J315</f>
        <v/>
      </c>
      <c r="L315" s="18" t="n">
        <v>0.05</v>
      </c>
      <c r="M315" s="9">
        <f>ROUND(K315*L315,0)</f>
        <v/>
      </c>
      <c r="N315" s="9" t="n">
        <v>55644</v>
      </c>
      <c r="O315" s="9">
        <f>N315-M315</f>
        <v/>
      </c>
      <c r="P315" s="8" t="inlineStr">
        <is>
          <t>MS4 Material delivery 20% x station price share 8.97% | Fixed key 5% (FAT)</t>
        </is>
      </c>
      <c r="Q315" s="8" t="inlineStr">
        <is>
          <t>Annex 3 Factory acceptance test (railway), allocated by hardware share</t>
        </is>
      </c>
      <c r="R315" s="9" t="n">
        <v>345</v>
      </c>
      <c r="S315" s="19">
        <f>R315/1000</f>
        <v/>
      </c>
      <c r="T315" s="20" t="n">
        <v>46973</v>
      </c>
      <c r="U315" s="20" t="n">
        <v>46986</v>
      </c>
      <c r="V315" s="8" t="n">
        <v>10</v>
      </c>
    </row>
    <row r="316">
      <c r="A316" s="8" t="inlineStr">
        <is>
          <t>A1-A5</t>
        </is>
      </c>
      <c r="B316" s="8" t="inlineStr">
        <is>
          <t>A1 to A5 equipment sections: logistics (shipping, customs, delivery) share</t>
        </is>
      </c>
      <c r="C316" s="8" t="inlineStr">
        <is>
          <t>HKA-P1060</t>
        </is>
      </c>
      <c r="D316" s="8" t="inlineStr">
        <is>
          <t>Shipping and customs clearance - KAEC</t>
        </is>
      </c>
      <c r="E316" s="8" t="inlineStr">
        <is>
          <t>PRO.HKA.LOG</t>
        </is>
      </c>
      <c r="F316" s="8" t="inlineStr">
        <is>
          <t>Procurement</t>
        </is>
      </c>
      <c r="G316" s="8" t="inlineStr">
        <is>
          <t>HKA</t>
        </is>
      </c>
      <c r="H316" s="8" t="inlineStr">
        <is>
          <t>MS4</t>
        </is>
      </c>
      <c r="I316" s="16" t="n">
        <v>0.2</v>
      </c>
      <c r="J316" s="10">
        <f>Station_BOQ!R13</f>
        <v/>
      </c>
      <c r="K316" s="9">
        <f>I316*62000000*J316</f>
        <v/>
      </c>
      <c r="L316" s="18" t="n">
        <v>0.15</v>
      </c>
      <c r="M316" s="9">
        <f>ROUND(K316*L316,0)</f>
        <v/>
      </c>
      <c r="N316" s="9" t="n">
        <v>166931</v>
      </c>
      <c r="O316" s="9">
        <f>N316-M316</f>
        <v/>
      </c>
      <c r="P316" s="8" t="inlineStr">
        <is>
          <t>MS4 Material delivery 20% x station price share 8.97% | Fixed key 15% (shipping and customs)</t>
        </is>
      </c>
      <c r="Q316" s="8" t="inlineStr">
        <is>
          <t>Annex 3 equipment sections A1-A5 (logistics share)</t>
        </is>
      </c>
      <c r="R316" s="9" t="n">
        <v>689</v>
      </c>
      <c r="S316" s="19">
        <f>R316/1000</f>
        <v/>
      </c>
      <c r="T316" s="20" t="n">
        <v>46987</v>
      </c>
      <c r="U316" s="20" t="n">
        <v>47023</v>
      </c>
      <c r="V316" s="8" t="n">
        <v>27</v>
      </c>
    </row>
    <row r="317">
      <c r="A317" s="8" t="inlineStr">
        <is>
          <t>SH-SPR</t>
        </is>
      </c>
      <c r="B317" s="8" t="inlineStr">
        <is>
          <t>Commissioning spares (per railway, allocated)</t>
        </is>
      </c>
      <c r="C317" s="8" t="inlineStr">
        <is>
          <t>HKA-P1070</t>
        </is>
      </c>
      <c r="D317" s="8" t="inlineStr">
        <is>
          <t>Delivery to station and receiving inspection - KAEC</t>
        </is>
      </c>
      <c r="E317" s="8" t="inlineStr">
        <is>
          <t>PRO.HKA.LOG</t>
        </is>
      </c>
      <c r="F317" s="8" t="inlineStr">
        <is>
          <t>Procurement</t>
        </is>
      </c>
      <c r="G317" s="8" t="inlineStr">
        <is>
          <t>HKA</t>
        </is>
      </c>
      <c r="H317" s="8" t="inlineStr">
        <is>
          <t>MS4</t>
        </is>
      </c>
      <c r="I317" s="16" t="n">
        <v>0.2</v>
      </c>
      <c r="J317" s="10">
        <f>Station_BOQ!R13</f>
        <v/>
      </c>
      <c r="K317" s="9">
        <f>I317*62000000*J317</f>
        <v/>
      </c>
      <c r="L317" s="18" t="n">
        <v>0.05</v>
      </c>
      <c r="M317" s="9">
        <f>ROUND(K317*L317,0)</f>
        <v/>
      </c>
      <c r="N317" s="9" t="n">
        <v>55644</v>
      </c>
      <c r="O317" s="9">
        <f>N317-M317</f>
        <v/>
      </c>
      <c r="P317" s="8" t="inlineStr">
        <is>
          <t>MS4 Material delivery 20% x station price share 8.97% | Fixed key 5% (delivery, receiving) incl. commissioning spares</t>
        </is>
      </c>
      <c r="Q317" s="8" t="inlineStr">
        <is>
          <t>Annex 3 Commissioning spares (railway), allocated by hardware share</t>
        </is>
      </c>
      <c r="R317" s="9" t="n">
        <v>345</v>
      </c>
      <c r="S317" s="19">
        <f>R317/1000</f>
        <v/>
      </c>
      <c r="T317" s="20" t="n">
        <v>47024</v>
      </c>
      <c r="U317" s="20" t="n">
        <v>47030</v>
      </c>
      <c r="V317" s="8" t="n">
        <v>5</v>
      </c>
    </row>
    <row r="318">
      <c r="A318" s="8" t="inlineStr">
        <is>
          <t>A6</t>
        </is>
      </c>
      <c r="B318" s="8" t="inlineStr">
        <is>
          <t>A6 Civil works</t>
        </is>
      </c>
      <c r="C318" s="8" t="inlineStr">
        <is>
          <t>HKA-C1010</t>
        </is>
      </c>
      <c r="D318" s="8" t="inlineStr">
        <is>
          <t>Civil: platform trenches and duct banks - KAEC</t>
        </is>
      </c>
      <c r="E318" s="8" t="inlineStr">
        <is>
          <t>CON.HKA.CIV</t>
        </is>
      </c>
      <c r="F318" s="8" t="inlineStr">
        <is>
          <t>Construction</t>
        </is>
      </c>
      <c r="G318" s="8" t="inlineStr">
        <is>
          <t>HKA</t>
        </is>
      </c>
      <c r="H318" s="8" t="inlineStr">
        <is>
          <t>MS5</t>
        </is>
      </c>
      <c r="I318" s="16" t="n">
        <v>0.2</v>
      </c>
      <c r="J318" s="10">
        <f>Station_BOQ!R13</f>
        <v/>
      </c>
      <c r="K318" s="9">
        <f>I318*62000000*J318</f>
        <v/>
      </c>
      <c r="L318" s="18" t="n">
        <v>0.02891377125514772</v>
      </c>
      <c r="M318" s="9">
        <f>ROUND(K318*L318,0)</f>
        <v/>
      </c>
      <c r="N318" s="9" t="n">
        <v>32177</v>
      </c>
      <c r="O318" s="9">
        <f>N318-M318</f>
        <v/>
      </c>
      <c r="P318" s="8" t="inlineStr">
        <is>
          <t>MS5 Installation 20% x station price share 8.97% | BOQ civil share 5.8% x 50% (trenches and duct banks)</t>
        </is>
      </c>
      <c r="Q318" s="8" t="inlineStr">
        <is>
          <t>Annex 3 A6 Civil works (SAR 187,054)</t>
        </is>
      </c>
      <c r="R318" s="9" t="n">
        <v>560</v>
      </c>
      <c r="S318" s="19">
        <f>R318/1000</f>
        <v/>
      </c>
      <c r="T318" s="20" t="n">
        <v>46910</v>
      </c>
      <c r="U318" s="20" t="n">
        <v>46944</v>
      </c>
      <c r="V318" s="8" t="n">
        <v>25</v>
      </c>
    </row>
    <row r="319">
      <c r="A319" s="8" t="inlineStr">
        <is>
          <t>A6</t>
        </is>
      </c>
      <c r="B319" s="8" t="inlineStr">
        <is>
          <t>A6 Civil works</t>
        </is>
      </c>
      <c r="C319" s="8" t="inlineStr">
        <is>
          <t>HKA-C1020</t>
        </is>
      </c>
      <c r="D319" s="8" t="inlineStr">
        <is>
          <t>Civil: camera and ALPR pole foundations and poles - KAEC</t>
        </is>
      </c>
      <c r="E319" s="8" t="inlineStr">
        <is>
          <t>CON.HKA.CIV</t>
        </is>
      </c>
      <c r="F319" s="8" t="inlineStr">
        <is>
          <t>Construction</t>
        </is>
      </c>
      <c r="G319" s="8" t="inlineStr">
        <is>
          <t>HKA</t>
        </is>
      </c>
      <c r="H319" s="8" t="inlineStr">
        <is>
          <t>MS5</t>
        </is>
      </c>
      <c r="I319" s="16" t="n">
        <v>0.2</v>
      </c>
      <c r="J319" s="10">
        <f>Station_BOQ!R13</f>
        <v/>
      </c>
      <c r="K319" s="9">
        <f>I319*62000000*J319</f>
        <v/>
      </c>
      <c r="L319" s="18" t="n">
        <v>0.02313101700411817</v>
      </c>
      <c r="M319" s="9">
        <f>ROUND(K319*L319,0)</f>
        <v/>
      </c>
      <c r="N319" s="9" t="n">
        <v>25742</v>
      </c>
      <c r="O319" s="9">
        <f>N319-M319</f>
        <v/>
      </c>
      <c r="P319" s="8" t="inlineStr">
        <is>
          <t>MS5 Installation 20% x station price share 8.97% | BOQ civil share 5.8% x 40% (poles)</t>
        </is>
      </c>
      <c r="Q319" s="8" t="inlineStr">
        <is>
          <t>Annex 3 A6 Civil works (SAR 187,054)</t>
        </is>
      </c>
      <c r="R319" s="9" t="n">
        <v>431</v>
      </c>
      <c r="S319" s="19">
        <f>R319/1000</f>
        <v/>
      </c>
      <c r="T319" s="20" t="n">
        <v>46932</v>
      </c>
      <c r="U319" s="20" t="n">
        <v>46959</v>
      </c>
      <c r="V319" s="8" t="n">
        <v>20</v>
      </c>
    </row>
    <row r="320">
      <c r="A320" s="8" t="inlineStr">
        <is>
          <t>A1-A5</t>
        </is>
      </c>
      <c r="B320" s="8" t="inlineStr">
        <is>
          <t>A1 to A5 equipment sections: installation share (works included in unit prices)</t>
        </is>
      </c>
      <c r="C320" s="8" t="inlineStr">
        <is>
          <t>HKA-C2010</t>
        </is>
      </c>
      <c r="D320" s="8" t="inlineStr">
        <is>
          <t>Install UPS, network switches and field cabinets - KAEC</t>
        </is>
      </c>
      <c r="E320" s="8" t="inlineStr">
        <is>
          <t>CON.HKA.INS</t>
        </is>
      </c>
      <c r="F320" s="8" t="inlineStr">
        <is>
          <t>Construction</t>
        </is>
      </c>
      <c r="G320" s="8" t="inlineStr">
        <is>
          <t>HKA</t>
        </is>
      </c>
      <c r="H320" s="8" t="inlineStr">
        <is>
          <t>MS5</t>
        </is>
      </c>
      <c r="I320" s="16" t="n">
        <v>0.2</v>
      </c>
      <c r="J320" s="10">
        <f>Station_BOQ!R13</f>
        <v/>
      </c>
      <c r="K320" s="9">
        <f>I320*62000000*J320</f>
        <v/>
      </c>
      <c r="L320" s="18" t="n">
        <v>0.1884344914979409</v>
      </c>
      <c r="M320" s="9">
        <f>ROUND(K320*L320,0)</f>
        <v/>
      </c>
      <c r="N320" s="9" t="n">
        <v>209704</v>
      </c>
      <c r="O320" s="9">
        <f>N320-M320</f>
        <v/>
      </c>
      <c r="P320" s="8" t="inlineStr">
        <is>
          <t>MS5 Installation 20% x station price share 8.97% | Installation key 20% x (1 - civil share 5.8%)</t>
        </is>
      </c>
      <c r="Q320" s="8" t="inlineStr">
        <is>
          <t>Annex 3 equipment sections A1-A5 (installation share)</t>
        </is>
      </c>
      <c r="R320" s="9" t="n">
        <v>258</v>
      </c>
      <c r="S320" s="19">
        <f>R320/1000</f>
        <v/>
      </c>
      <c r="T320" s="20" t="n">
        <v>47031</v>
      </c>
      <c r="U320" s="20" t="n">
        <v>47058</v>
      </c>
      <c r="V320" s="8" t="n">
        <v>20</v>
      </c>
    </row>
    <row r="321">
      <c r="A321" s="8" t="inlineStr">
        <is>
          <t>A1-A5</t>
        </is>
      </c>
      <c r="B321" s="8" t="inlineStr">
        <is>
          <t>A1 to A5 equipment sections: installation share (works included in unit prices)</t>
        </is>
      </c>
      <c r="C321" s="8" t="inlineStr">
        <is>
          <t>HKA-C2020</t>
        </is>
      </c>
      <c r="D321" s="8" t="inlineStr">
        <is>
          <t>Cabling and termination (power, fibre, data) - KAEC</t>
        </is>
      </c>
      <c r="E321" s="8" t="inlineStr">
        <is>
          <t>CON.HKA.INS</t>
        </is>
      </c>
      <c r="F321" s="8" t="inlineStr">
        <is>
          <t>Construction</t>
        </is>
      </c>
      <c r="G321" s="8" t="inlineStr">
        <is>
          <t>HKA</t>
        </is>
      </c>
      <c r="H321" s="8" t="inlineStr">
        <is>
          <t>MS5</t>
        </is>
      </c>
      <c r="I321" s="16" t="n">
        <v>0.2</v>
      </c>
      <c r="J321" s="10">
        <f>Station_BOQ!R13</f>
        <v/>
      </c>
      <c r="K321" s="9">
        <f>I321*62000000*J321</f>
        <v/>
      </c>
      <c r="L321" s="18" t="n">
        <v>0.2826517372469113</v>
      </c>
      <c r="M321" s="9">
        <f>ROUND(K321*L321,0)</f>
        <v/>
      </c>
      <c r="N321" s="9" t="n">
        <v>314556</v>
      </c>
      <c r="O321" s="9">
        <f>N321-M321</f>
        <v/>
      </c>
      <c r="P321" s="8" t="inlineStr">
        <is>
          <t>MS5 Installation 20% x station price share 8.97% | Installation key 30% x (1 - civil share 5.8%)</t>
        </is>
      </c>
      <c r="Q321" s="8" t="inlineStr">
        <is>
          <t>Annex 3 equipment sections A1-A5 (installation share)</t>
        </is>
      </c>
      <c r="R321" s="9" t="n">
        <v>517</v>
      </c>
      <c r="S321" s="19">
        <f>R321/1000</f>
        <v/>
      </c>
      <c r="T321" s="20" t="n">
        <v>47042</v>
      </c>
      <c r="U321" s="20" t="n">
        <v>47087</v>
      </c>
      <c r="V321" s="8" t="n">
        <v>34</v>
      </c>
    </row>
    <row r="322">
      <c r="A322" s="8" t="inlineStr">
        <is>
          <t>A1-A5</t>
        </is>
      </c>
      <c r="B322" s="8" t="inlineStr">
        <is>
          <t>A1 to A5 equipment sections: installation share (works included in unit prices)</t>
        </is>
      </c>
      <c r="C322" s="8" t="inlineStr">
        <is>
          <t>HKA-C2030</t>
        </is>
      </c>
      <c r="D322" s="8" t="inlineStr">
        <is>
          <t>Install and aim CCTV cameras - KAEC</t>
        </is>
      </c>
      <c r="E322" s="8" t="inlineStr">
        <is>
          <t>CON.HKA.INS</t>
        </is>
      </c>
      <c r="F322" s="8" t="inlineStr">
        <is>
          <t>Construction</t>
        </is>
      </c>
      <c r="G322" s="8" t="inlineStr">
        <is>
          <t>HKA</t>
        </is>
      </c>
      <c r="H322" s="8" t="inlineStr">
        <is>
          <t>MS5</t>
        </is>
      </c>
      <c r="I322" s="16" t="n">
        <v>0.2</v>
      </c>
      <c r="J322" s="10">
        <f>Station_BOQ!R13</f>
        <v/>
      </c>
      <c r="K322" s="9">
        <f>I322*62000000*J322</f>
        <v/>
      </c>
      <c r="L322" s="18" t="n">
        <v>0.2355431143724261</v>
      </c>
      <c r="M322" s="9">
        <f>ROUND(K322*L322,0)</f>
        <v/>
      </c>
      <c r="N322" s="9" t="n">
        <v>262130</v>
      </c>
      <c r="O322" s="9">
        <f>N322-M322</f>
        <v/>
      </c>
      <c r="P322" s="8" t="inlineStr">
        <is>
          <t>MS5 Installation 20% x station price share 8.97% | Installation key 25% x (1 - civil share 5.8%)</t>
        </is>
      </c>
      <c r="Q322" s="8" t="inlineStr">
        <is>
          <t>Annex 3 equipment sections A1-A5 (installation share)</t>
        </is>
      </c>
      <c r="R322" s="9" t="n">
        <v>431</v>
      </c>
      <c r="S322" s="19">
        <f>R322/1000</f>
        <v/>
      </c>
      <c r="T322" s="20" t="n">
        <v>47090</v>
      </c>
      <c r="U322" s="20" t="n">
        <v>47126</v>
      </c>
      <c r="V322" s="8" t="n">
        <v>27</v>
      </c>
    </row>
    <row r="323">
      <c r="A323" s="8" t="inlineStr">
        <is>
          <t>A1-A5</t>
        </is>
      </c>
      <c r="B323" s="8" t="inlineStr">
        <is>
          <t>A1 to A5 equipment sections: installation share (works included in unit prices)</t>
        </is>
      </c>
      <c r="C323" s="8" t="inlineStr">
        <is>
          <t>HKA-C2040</t>
        </is>
      </c>
      <c r="D323" s="8" t="inlineStr">
        <is>
          <t>Install video management, video wall and control-room equipment - KAEC</t>
        </is>
      </c>
      <c r="E323" s="8" t="inlineStr">
        <is>
          <t>CON.HKA.INS</t>
        </is>
      </c>
      <c r="F323" s="8" t="inlineStr">
        <is>
          <t>Construction</t>
        </is>
      </c>
      <c r="G323" s="8" t="inlineStr">
        <is>
          <t>HKA</t>
        </is>
      </c>
      <c r="H323" s="8" t="inlineStr">
        <is>
          <t>MS5</t>
        </is>
      </c>
      <c r="I323" s="16" t="n">
        <v>0.2</v>
      </c>
      <c r="J323" s="10">
        <f>Station_BOQ!R13</f>
        <v/>
      </c>
      <c r="K323" s="9">
        <f>I323*62000000*J323</f>
        <v/>
      </c>
      <c r="L323" s="18" t="n">
        <v>0.1413258686234557</v>
      </c>
      <c r="M323" s="9">
        <f>ROUND(K323*L323,0)</f>
        <v/>
      </c>
      <c r="N323" s="9" t="n">
        <v>157278</v>
      </c>
      <c r="O323" s="9">
        <f>N323-M323</f>
        <v/>
      </c>
      <c r="P323" s="8" t="inlineStr">
        <is>
          <t>MS5 Installation 20% x station price share 8.97% | Installation key 15% x (1 - civil share 5.8%)</t>
        </is>
      </c>
      <c r="Q323" s="8" t="inlineStr">
        <is>
          <t>Annex 3 equipment sections A1-A5 (installation share)</t>
        </is>
      </c>
      <c r="R323" s="9" t="n">
        <v>258</v>
      </c>
      <c r="S323" s="19">
        <f>R323/1000</f>
        <v/>
      </c>
      <c r="T323" s="20" t="n">
        <v>47059</v>
      </c>
      <c r="U323" s="20" t="n">
        <v>47091</v>
      </c>
      <c r="V323" s="8" t="n">
        <v>23</v>
      </c>
    </row>
    <row r="324">
      <c r="A324" s="8" t="inlineStr">
        <is>
          <t>A1-A5</t>
        </is>
      </c>
      <c r="B324" s="8" t="inlineStr">
        <is>
          <t>A1 to A5 equipment sections: installation share (works included in unit prices)</t>
        </is>
      </c>
      <c r="C324" s="8" t="inlineStr">
        <is>
          <t>HKA-C2050</t>
        </is>
      </c>
      <c r="D324" s="8" t="inlineStr">
        <is>
          <t>Install access control and intercom - KAEC</t>
        </is>
      </c>
      <c r="E324" s="8" t="inlineStr">
        <is>
          <t>CON.HKA.INS</t>
        </is>
      </c>
      <c r="F324" s="8" t="inlineStr">
        <is>
          <t>Construction</t>
        </is>
      </c>
      <c r="G324" s="8" t="inlineStr">
        <is>
          <t>HKA</t>
        </is>
      </c>
      <c r="H324" s="8" t="inlineStr">
        <is>
          <t>MS5</t>
        </is>
      </c>
      <c r="I324" s="16" t="n">
        <v>0.2</v>
      </c>
      <c r="J324" s="10">
        <f>Station_BOQ!R13</f>
        <v/>
      </c>
      <c r="K324" s="9">
        <f>I324*62000000*J324</f>
        <v/>
      </c>
      <c r="L324" s="18" t="n">
        <v>0.09421724574897046</v>
      </c>
      <c r="M324" s="9">
        <f>ROUND(K324*L324,0)</f>
        <v/>
      </c>
      <c r="N324" s="9" t="n">
        <v>104852</v>
      </c>
      <c r="O324" s="9">
        <f>N324-M324</f>
        <v/>
      </c>
      <c r="P324" s="8" t="inlineStr">
        <is>
          <t>MS5 Installation 20% x station price share 8.97% | Installation key 10% x (1 - civil share 5.8%)</t>
        </is>
      </c>
      <c r="Q324" s="8" t="inlineStr">
        <is>
          <t>Annex 3 equipment sections A1-A5 (installation share)</t>
        </is>
      </c>
      <c r="R324" s="9" t="n">
        <v>172</v>
      </c>
      <c r="S324" s="19">
        <f>R324/1000</f>
        <v/>
      </c>
      <c r="T324" s="20" t="n">
        <v>47070</v>
      </c>
      <c r="U324" s="20" t="n">
        <v>47097</v>
      </c>
      <c r="V324" s="8" t="n">
        <v>20</v>
      </c>
    </row>
    <row r="325">
      <c r="A325" s="8" t="inlineStr">
        <is>
          <t>A1-A5</t>
        </is>
      </c>
      <c r="B325" s="8" t="inlineStr">
        <is>
          <t>A1 to A5 equipment sections: testing and commissioning share</t>
        </is>
      </c>
      <c r="C325" s="8" t="inlineStr">
        <is>
          <t>HKA-T1010</t>
        </is>
      </c>
      <c r="D325" s="8" t="inlineStr">
        <is>
          <t>Pre-commissioning and loop checks - KAEC</t>
        </is>
      </c>
      <c r="E325" s="8" t="inlineStr">
        <is>
          <t>COM.HKA.TST</t>
        </is>
      </c>
      <c r="F325" s="8" t="inlineStr">
        <is>
          <t>Commissioning and handover</t>
        </is>
      </c>
      <c r="G325" s="8" t="inlineStr">
        <is>
          <t>HKA</t>
        </is>
      </c>
      <c r="H325" s="8" t="inlineStr">
        <is>
          <t>MS6</t>
        </is>
      </c>
      <c r="I325" s="16" t="n">
        <v>0.1</v>
      </c>
      <c r="J325" s="10">
        <f>Station_BOQ!R13</f>
        <v/>
      </c>
      <c r="K325" s="9">
        <f>I325*62000000*J325</f>
        <v/>
      </c>
      <c r="L325" s="18" t="n">
        <v>0.4</v>
      </c>
      <c r="M325" s="9">
        <f>ROUND(K325*L325,0)</f>
        <v/>
      </c>
      <c r="N325" s="9" t="n">
        <v>222575</v>
      </c>
      <c r="O325" s="9">
        <f>N325-M325</f>
        <v/>
      </c>
      <c r="P325" s="8" t="inlineStr">
        <is>
          <t>MS6 Testing and commissioning (SAT) 10% x station price share 8.97% | Fixed key 40% of SAT milestone</t>
        </is>
      </c>
      <c r="Q325" s="8" t="inlineStr">
        <is>
          <t>Annex 3 equipment sections A1-A5 (testing share)</t>
        </is>
      </c>
      <c r="R325" s="9" t="n">
        <v>258</v>
      </c>
      <c r="S325" s="19">
        <f>R325/1000</f>
        <v/>
      </c>
      <c r="T325" s="20" t="n">
        <v>47127</v>
      </c>
      <c r="U325" s="20" t="n">
        <v>47136</v>
      </c>
      <c r="V325" s="8" t="n">
        <v>8</v>
      </c>
    </row>
    <row r="326">
      <c r="A326" s="8" t="inlineStr">
        <is>
          <t>A1-A5</t>
        </is>
      </c>
      <c r="B326" s="8" t="inlineStr">
        <is>
          <t>A1 to A5 equipment sections: testing and commissioning share</t>
        </is>
      </c>
      <c r="C326" s="8" t="inlineStr">
        <is>
          <t>HKA-T1020</t>
        </is>
      </c>
      <c r="D326" s="8" t="inlineStr">
        <is>
          <t>Site acceptance test (SAT) and commissioning - KAEC</t>
        </is>
      </c>
      <c r="E326" s="8" t="inlineStr">
        <is>
          <t>COM.HKA.TST</t>
        </is>
      </c>
      <c r="F326" s="8" t="inlineStr">
        <is>
          <t>Commissioning and handover</t>
        </is>
      </c>
      <c r="G326" s="8" t="inlineStr">
        <is>
          <t>HKA</t>
        </is>
      </c>
      <c r="H326" s="8" t="inlineStr">
        <is>
          <t>MS6</t>
        </is>
      </c>
      <c r="I326" s="16" t="n">
        <v>0.1</v>
      </c>
      <c r="J326" s="10">
        <f>Station_BOQ!R13</f>
        <v/>
      </c>
      <c r="K326" s="9">
        <f>I326*62000000*J326</f>
        <v/>
      </c>
      <c r="L326" s="18" t="n">
        <v>0.6</v>
      </c>
      <c r="M326" s="9">
        <f>ROUND(K326*L326,0)</f>
        <v/>
      </c>
      <c r="N326" s="9" t="n">
        <v>333863</v>
      </c>
      <c r="O326" s="9">
        <f>N326-M326</f>
        <v/>
      </c>
      <c r="P326" s="8" t="inlineStr">
        <is>
          <t>MS6 Testing and commissioning (SAT) 10% x station price share 8.97% | Fixed key 60% of SAT milestone</t>
        </is>
      </c>
      <c r="Q326" s="8" t="inlineStr">
        <is>
          <t>Annex 3 equipment sections A1-A5 (testing share)</t>
        </is>
      </c>
      <c r="R326" s="9" t="n">
        <v>345</v>
      </c>
      <c r="S326" s="19">
        <f>R326/1000</f>
        <v/>
      </c>
      <c r="T326" s="20" t="n">
        <v>47139</v>
      </c>
      <c r="U326" s="20" t="n">
        <v>47154</v>
      </c>
      <c r="V326" s="8" t="n">
        <v>12</v>
      </c>
    </row>
    <row r="327">
      <c r="A327" s="8" t="inlineStr">
        <is>
          <t>SH-TRN</t>
        </is>
      </c>
      <c r="B327" s="8" t="inlineStr">
        <is>
          <t>Training (per railway, allocated)</t>
        </is>
      </c>
      <c r="C327" s="8" t="inlineStr">
        <is>
          <t>HKA-T2010</t>
        </is>
      </c>
      <c r="D327" s="8" t="inlineStr">
        <is>
          <t>Operator and maintenance training - KAEC</t>
        </is>
      </c>
      <c r="E327" s="8" t="inlineStr">
        <is>
          <t>COM.HKA.TRN</t>
        </is>
      </c>
      <c r="F327" s="8" t="inlineStr">
        <is>
          <t>Commissioning and handover</t>
        </is>
      </c>
      <c r="G327" s="8" t="inlineStr">
        <is>
          <t>HKA</t>
        </is>
      </c>
      <c r="H327" s="8" t="inlineStr">
        <is>
          <t>MS7</t>
        </is>
      </c>
      <c r="I327" s="16" t="n">
        <v>0.1</v>
      </c>
      <c r="J327" s="10">
        <f>Station_BOQ!R13</f>
        <v/>
      </c>
      <c r="K327" s="9">
        <f>I327*62000000*J327</f>
        <v/>
      </c>
      <c r="L327" s="18" t="n">
        <v>0.15</v>
      </c>
      <c r="M327" s="9">
        <f>ROUND(K327*L327,0)</f>
        <v/>
      </c>
      <c r="N327" s="9" t="n">
        <v>83466</v>
      </c>
      <c r="O327" s="9">
        <f>N327-M327</f>
        <v/>
      </c>
      <c r="P327" s="8" t="inlineStr">
        <is>
          <t>MS7 Final acceptance and handover 10% x station price share 8.97% | Fixed key 15%</t>
        </is>
      </c>
      <c r="Q327" s="8" t="inlineStr">
        <is>
          <t>Annex 3 Training (railway), allocated by hardware share</t>
        </is>
      </c>
      <c r="R327" s="9" t="n">
        <v>172</v>
      </c>
      <c r="S327" s="19">
        <f>R327/1000</f>
        <v/>
      </c>
      <c r="T327" s="20" t="n">
        <v>47155</v>
      </c>
      <c r="U327" s="20" t="n">
        <v>47176</v>
      </c>
      <c r="V327" s="8" t="n">
        <v>10</v>
      </c>
    </row>
    <row r="328">
      <c r="A328" s="8" t="inlineStr">
        <is>
          <t>A1-A5</t>
        </is>
      </c>
      <c r="B328" s="8" t="inlineStr">
        <is>
          <t>A1 to A5 equipment sections: trial operation share</t>
        </is>
      </c>
      <c r="C328" s="8" t="inlineStr">
        <is>
          <t>HKA-T2020</t>
        </is>
      </c>
      <c r="D328" s="8" t="inlineStr">
        <is>
          <t>Trial operation (maximum 45 days) - KAEC</t>
        </is>
      </c>
      <c r="E328" s="8" t="inlineStr">
        <is>
          <t>COM.HKA.TOA</t>
        </is>
      </c>
      <c r="F328" s="8" t="inlineStr">
        <is>
          <t>Commissioning and handover</t>
        </is>
      </c>
      <c r="G328" s="8" t="inlineStr">
        <is>
          <t>HKA</t>
        </is>
      </c>
      <c r="H328" s="8" t="inlineStr">
        <is>
          <t>MS7</t>
        </is>
      </c>
      <c r="I328" s="16" t="n">
        <v>0.1</v>
      </c>
      <c r="J328" s="10">
        <f>Station_BOQ!R13</f>
        <v/>
      </c>
      <c r="K328" s="9">
        <f>I328*62000000*J328</f>
        <v/>
      </c>
      <c r="L328" s="18" t="n">
        <v>0.35</v>
      </c>
      <c r="M328" s="9">
        <f>ROUND(K328*L328,0)</f>
        <v/>
      </c>
      <c r="N328" s="9" t="n">
        <v>194753</v>
      </c>
      <c r="O328" s="9">
        <f>N328-M328</f>
        <v/>
      </c>
      <c r="P328" s="8" t="inlineStr">
        <is>
          <t>MS7 Final acceptance and handover 10% x station price share 8.97% | Fixed key 35%</t>
        </is>
      </c>
      <c r="Q328" s="8" t="inlineStr">
        <is>
          <t>Annex 3 equipment sections A1-A5 (trial operation share)</t>
        </is>
      </c>
      <c r="R328" s="9" t="n">
        <v>258</v>
      </c>
      <c r="S328" s="19">
        <f>R328/1000</f>
        <v/>
      </c>
      <c r="T328" s="20" t="n">
        <v>47155</v>
      </c>
      <c r="U328" s="20" t="n">
        <v>47204</v>
      </c>
      <c r="V328" s="8" t="n">
        <v>30</v>
      </c>
    </row>
    <row r="329">
      <c r="A329" s="8" t="inlineStr">
        <is>
          <t>A1-A5</t>
        </is>
      </c>
      <c r="B329" s="8" t="inlineStr">
        <is>
          <t>A1 to A5 equipment sections: handover share</t>
        </is>
      </c>
      <c r="C329" s="8" t="inlineStr">
        <is>
          <t>HKA-T3010</t>
        </is>
      </c>
      <c r="D329" s="8" t="inlineStr">
        <is>
          <t>Taking-over application, SAR review and handover - KAEC</t>
        </is>
      </c>
      <c r="E329" s="8" t="inlineStr">
        <is>
          <t>COM.HKA.TOA</t>
        </is>
      </c>
      <c r="F329" s="8" t="inlineStr">
        <is>
          <t>Commissioning and handover</t>
        </is>
      </c>
      <c r="G329" s="8" t="inlineStr">
        <is>
          <t>HKA</t>
        </is>
      </c>
      <c r="H329" s="8" t="inlineStr">
        <is>
          <t>MS7</t>
        </is>
      </c>
      <c r="I329" s="16" t="n">
        <v>0.1</v>
      </c>
      <c r="J329" s="10">
        <f>Station_BOQ!R13</f>
        <v/>
      </c>
      <c r="K329" s="9">
        <f>I329*62000000*J329</f>
        <v/>
      </c>
      <c r="L329" s="18" t="n">
        <v>0.3</v>
      </c>
      <c r="M329" s="9">
        <f>ROUND(K329*L329,0)</f>
        <v/>
      </c>
      <c r="N329" s="9" t="n">
        <v>166931</v>
      </c>
      <c r="O329" s="9">
        <f>N329-M329</f>
        <v/>
      </c>
      <c r="P329" s="8" t="inlineStr">
        <is>
          <t>MS7 Final acceptance and handover 10% x station price share 8.97% | Fixed key 30%</t>
        </is>
      </c>
      <c r="Q329" s="8" t="inlineStr">
        <is>
          <t>Annex 3 equipment sections A1-A5 (handover share)</t>
        </is>
      </c>
      <c r="R329" s="9" t="n">
        <v>258</v>
      </c>
      <c r="S329" s="19">
        <f>R329/1000</f>
        <v/>
      </c>
      <c r="T329" s="20" t="n">
        <v>47205</v>
      </c>
      <c r="U329" s="20" t="n">
        <v>47241</v>
      </c>
      <c r="V329" s="8" t="n">
        <v>22</v>
      </c>
    </row>
    <row r="330">
      <c r="A330" s="8" t="inlineStr">
        <is>
          <t>SH-DES</t>
        </is>
      </c>
      <c r="B330" s="8" t="inlineStr">
        <is>
          <t>Design and engineering package (per railway, allocated to the station)</t>
        </is>
      </c>
      <c r="C330" s="8" t="inlineStr">
        <is>
          <t>HMD-E1010</t>
        </is>
      </c>
      <c r="D330" s="8" t="inlineStr">
        <is>
          <t>Survey: submittal of site survey and as-found report - Madinah</t>
        </is>
      </c>
      <c r="E330" s="8" t="inlineStr">
        <is>
          <t>ENG.HMD.SRV.SUB</t>
        </is>
      </c>
      <c r="F330" s="8" t="inlineStr">
        <is>
          <t>Engineering</t>
        </is>
      </c>
      <c r="G330" s="8" t="inlineStr">
        <is>
          <t>HMD</t>
        </is>
      </c>
      <c r="H330" s="8" t="inlineStr">
        <is>
          <t>MS2</t>
        </is>
      </c>
      <c r="I330" s="16" t="n">
        <v>0.1</v>
      </c>
      <c r="J330" s="10">
        <f>Station_BOQ!R14</f>
        <v/>
      </c>
      <c r="K330" s="9">
        <f>I330*62000000*J330</f>
        <v/>
      </c>
      <c r="L330" s="18" t="n">
        <v>0.06900000000000001</v>
      </c>
      <c r="M330" s="9">
        <f>ROUND(K330*L330,0)</f>
        <v/>
      </c>
      <c r="N330" s="9" t="n">
        <v>38379</v>
      </c>
      <c r="O330" s="9">
        <f>N330-M330</f>
        <v/>
      </c>
      <c r="P330" s="8" t="inlineStr">
        <is>
          <t>MS2 Engineering submittal 10% x station price share 8.97% | Design stage key 6.9% of the engineering-submittal milestone</t>
        </is>
      </c>
      <c r="Q330" s="8" t="inlineStr">
        <is>
          <t>Annex 3 Design and engineering package (railway) allocated by station hardware share</t>
        </is>
      </c>
      <c r="R330" s="9" t="n">
        <v>62</v>
      </c>
      <c r="S330" s="19">
        <f>R330/1000</f>
        <v/>
      </c>
      <c r="T330" s="20" t="n">
        <v>46768</v>
      </c>
      <c r="U330" s="20" t="n">
        <v>46789</v>
      </c>
      <c r="V330" s="8" t="n">
        <v>16</v>
      </c>
    </row>
    <row r="331">
      <c r="A331" s="8" t="inlineStr">
        <is>
          <t>SH-DES</t>
        </is>
      </c>
      <c r="B331" s="8" t="inlineStr">
        <is>
          <t>Design and engineering package (per railway, allocated to the station)</t>
        </is>
      </c>
      <c r="C331" s="8" t="inlineStr">
        <is>
          <t>HMD-E1020</t>
        </is>
      </c>
      <c r="D331" s="8" t="inlineStr">
        <is>
          <t>Survey: SAR approval of survey report - Madinah</t>
        </is>
      </c>
      <c r="E331" s="8" t="inlineStr">
        <is>
          <t>ENG.HMD.SRV.APR</t>
        </is>
      </c>
      <c r="F331" s="8" t="inlineStr">
        <is>
          <t>Engineering</t>
        </is>
      </c>
      <c r="G331" s="8" t="inlineStr">
        <is>
          <t>HMD</t>
        </is>
      </c>
      <c r="H331" s="8" t="inlineStr">
        <is>
          <t>MS3</t>
        </is>
      </c>
      <c r="I331" s="16" t="n">
        <v>0.1</v>
      </c>
      <c r="J331" s="10">
        <f>Station_BOQ!R14</f>
        <v/>
      </c>
      <c r="K331" s="9">
        <f>I331*62000000*J331</f>
        <v/>
      </c>
      <c r="L331" s="18" t="n">
        <v>0.05</v>
      </c>
      <c r="M331" s="9">
        <f>ROUND(K331*L331,0)</f>
        <v/>
      </c>
      <c r="N331" s="9" t="n">
        <v>27811</v>
      </c>
      <c r="O331" s="9">
        <f>N331-M331</f>
        <v/>
      </c>
      <c r="P331" s="8" t="inlineStr">
        <is>
          <t>MS3 SAR approval of engineering 10% x station price share 8.97% | Design stage key 5.0% of the SAR-approval milestone</t>
        </is>
      </c>
      <c r="Q331" s="8" t="inlineStr">
        <is>
          <t>Annex 3 Design and engineering package (railway) allocated by station hardware share</t>
        </is>
      </c>
      <c r="R331" s="9" t="n">
        <v>39</v>
      </c>
      <c r="S331" s="19">
        <f>R331/1000</f>
        <v/>
      </c>
      <c r="T331" s="20" t="n">
        <v>46790</v>
      </c>
      <c r="U331" s="20" t="n">
        <v>46817</v>
      </c>
      <c r="V331" s="8" t="n">
        <v>15</v>
      </c>
    </row>
    <row r="332">
      <c r="A332" s="8" t="inlineStr">
        <is>
          <t>SH-DES</t>
        </is>
      </c>
      <c r="B332" s="8" t="inlineStr">
        <is>
          <t>Design and engineering package (per railway, allocated to the station)</t>
        </is>
      </c>
      <c r="C332" s="8" t="inlineStr">
        <is>
          <t>HMD-E1030</t>
        </is>
      </c>
      <c r="D332" s="8" t="inlineStr">
        <is>
          <t>Concept design: submittal - Madinah</t>
        </is>
      </c>
      <c r="E332" s="8" t="inlineStr">
        <is>
          <t>ENG.HMD.CNC.SUB</t>
        </is>
      </c>
      <c r="F332" s="8" t="inlineStr">
        <is>
          <t>Engineering</t>
        </is>
      </c>
      <c r="G332" s="8" t="inlineStr">
        <is>
          <t>HMD</t>
        </is>
      </c>
      <c r="H332" s="8" t="inlineStr">
        <is>
          <t>MS2</t>
        </is>
      </c>
      <c r="I332" s="16" t="n">
        <v>0.1</v>
      </c>
      <c r="J332" s="10">
        <f>Station_BOQ!R14</f>
        <v/>
      </c>
      <c r="K332" s="9">
        <f>I332*62000000*J332</f>
        <v/>
      </c>
      <c r="L332" s="18" t="n">
        <v>0.098</v>
      </c>
      <c r="M332" s="9">
        <f>ROUND(K332*L332,0)</f>
        <v/>
      </c>
      <c r="N332" s="9" t="n">
        <v>54509</v>
      </c>
      <c r="O332" s="9">
        <f>N332-M332</f>
        <v/>
      </c>
      <c r="P332" s="8" t="inlineStr">
        <is>
          <t>MS2 Engineering submittal 10% x station price share 8.97% | Design stage key 9.8% of the engineering-submittal milestone</t>
        </is>
      </c>
      <c r="Q332" s="8" t="inlineStr">
        <is>
          <t>Annex 3 Design and engineering package (railway) allocated by station hardware share</t>
        </is>
      </c>
      <c r="R332" s="9" t="n">
        <v>32</v>
      </c>
      <c r="S332" s="19">
        <f>R332/1000</f>
        <v/>
      </c>
      <c r="T332" s="20" t="n">
        <v>46790</v>
      </c>
      <c r="U332" s="20" t="n">
        <v>46798</v>
      </c>
      <c r="V332" s="8" t="n">
        <v>7</v>
      </c>
    </row>
    <row r="333">
      <c r="A333" s="8" t="inlineStr">
        <is>
          <t>SH-DES</t>
        </is>
      </c>
      <c r="B333" s="8" t="inlineStr">
        <is>
          <t>Design and engineering package (per railway, allocated to the station)</t>
        </is>
      </c>
      <c r="C333" s="8" t="inlineStr">
        <is>
          <t>HMD-E1040</t>
        </is>
      </c>
      <c r="D333" s="8" t="inlineStr">
        <is>
          <t>Concept design: SAR review and approval - Madinah</t>
        </is>
      </c>
      <c r="E333" s="8" t="inlineStr">
        <is>
          <t>ENG.HMD.CNC.APR</t>
        </is>
      </c>
      <c r="F333" s="8" t="inlineStr">
        <is>
          <t>Engineering</t>
        </is>
      </c>
      <c r="G333" s="8" t="inlineStr">
        <is>
          <t>HMD</t>
        </is>
      </c>
      <c r="H333" s="8" t="inlineStr">
        <is>
          <t>MS3</t>
        </is>
      </c>
      <c r="I333" s="16" t="n">
        <v>0.1</v>
      </c>
      <c r="J333" s="10">
        <f>Station_BOQ!R14</f>
        <v/>
      </c>
      <c r="K333" s="9">
        <f>I333*62000000*J333</f>
        <v/>
      </c>
      <c r="L333" s="18" t="n">
        <v>0.1</v>
      </c>
      <c r="M333" s="9">
        <f>ROUND(K333*L333,0)</f>
        <v/>
      </c>
      <c r="N333" s="9" t="n">
        <v>55621</v>
      </c>
      <c r="O333" s="9">
        <f>N333-M333</f>
        <v/>
      </c>
      <c r="P333" s="8" t="inlineStr">
        <is>
          <t>MS3 SAR approval of engineering 10% x station price share 8.97% | Design stage key 10.0% of the SAR-approval milestone</t>
        </is>
      </c>
      <c r="Q333" s="8" t="inlineStr">
        <is>
          <t>Annex 3 Design and engineering package (railway) allocated by station hardware share</t>
        </is>
      </c>
      <c r="R333" s="9" t="n">
        <v>69</v>
      </c>
      <c r="S333" s="19">
        <f>R333/1000</f>
        <v/>
      </c>
      <c r="T333" s="20" t="n">
        <v>46799</v>
      </c>
      <c r="U333" s="20" t="n">
        <v>46826</v>
      </c>
      <c r="V333" s="8" t="n">
        <v>15</v>
      </c>
    </row>
    <row r="334">
      <c r="A334" s="8" t="inlineStr">
        <is>
          <t>SH-DES</t>
        </is>
      </c>
      <c r="B334" s="8" t="inlineStr">
        <is>
          <t>Design and engineering package (per railway, allocated to the station)</t>
        </is>
      </c>
      <c r="C334" s="8" t="inlineStr">
        <is>
          <t>HMD-E1050</t>
        </is>
      </c>
      <c r="D334" s="8" t="inlineStr">
        <is>
          <t>Preliminary design: submittal - Madinah</t>
        </is>
      </c>
      <c r="E334" s="8" t="inlineStr">
        <is>
          <t>ENG.HMD.PRE.SUB</t>
        </is>
      </c>
      <c r="F334" s="8" t="inlineStr">
        <is>
          <t>Engineering</t>
        </is>
      </c>
      <c r="G334" s="8" t="inlineStr">
        <is>
          <t>HMD</t>
        </is>
      </c>
      <c r="H334" s="8" t="inlineStr">
        <is>
          <t>MS2</t>
        </is>
      </c>
      <c r="I334" s="16" t="n">
        <v>0.1</v>
      </c>
      <c r="J334" s="10">
        <f>Station_BOQ!R14</f>
        <v/>
      </c>
      <c r="K334" s="9">
        <f>I334*62000000*J334</f>
        <v/>
      </c>
      <c r="L334" s="18" t="n">
        <v>0.196</v>
      </c>
      <c r="M334" s="9">
        <f>ROUND(K334*L334,0)</f>
        <v/>
      </c>
      <c r="N334" s="9" t="n">
        <v>109018</v>
      </c>
      <c r="O334" s="9">
        <f>N334-M334</f>
        <v/>
      </c>
      <c r="P334" s="8" t="inlineStr">
        <is>
          <t>MS2 Engineering submittal 10% x station price share 8.97% | Design stage key 19.6% of the engineering-submittal milestone</t>
        </is>
      </c>
      <c r="Q334" s="8" t="inlineStr">
        <is>
          <t>Annex 3 Design and engineering package (railway) allocated by station hardware share</t>
        </is>
      </c>
      <c r="R334" s="9" t="n">
        <v>81</v>
      </c>
      <c r="S334" s="19">
        <f>R334/1000</f>
        <v/>
      </c>
      <c r="T334" s="20" t="n">
        <v>46799</v>
      </c>
      <c r="U334" s="20" t="n">
        <v>46821</v>
      </c>
      <c r="V334" s="8" t="n">
        <v>12</v>
      </c>
    </row>
    <row r="335">
      <c r="A335" s="8" t="inlineStr">
        <is>
          <t>SH-DES</t>
        </is>
      </c>
      <c r="B335" s="8" t="inlineStr">
        <is>
          <t>Design and engineering package (per railway, allocated to the station)</t>
        </is>
      </c>
      <c r="C335" s="8" t="inlineStr">
        <is>
          <t>HMD-E1060</t>
        </is>
      </c>
      <c r="D335" s="8" t="inlineStr">
        <is>
          <t>Preliminary design: SAR review and approval - Madinah</t>
        </is>
      </c>
      <c r="E335" s="8" t="inlineStr">
        <is>
          <t>ENG.HMD.PRE.APR</t>
        </is>
      </c>
      <c r="F335" s="8" t="inlineStr">
        <is>
          <t>Engineering</t>
        </is>
      </c>
      <c r="G335" s="8" t="inlineStr">
        <is>
          <t>HMD</t>
        </is>
      </c>
      <c r="H335" s="8" t="inlineStr">
        <is>
          <t>MS3</t>
        </is>
      </c>
      <c r="I335" s="16" t="n">
        <v>0.1</v>
      </c>
      <c r="J335" s="10">
        <f>Station_BOQ!R14</f>
        <v/>
      </c>
      <c r="K335" s="9">
        <f>I335*62000000*J335</f>
        <v/>
      </c>
      <c r="L335" s="18" t="n">
        <v>0.2</v>
      </c>
      <c r="M335" s="9">
        <f>ROUND(K335*L335,0)</f>
        <v/>
      </c>
      <c r="N335" s="9" t="n">
        <v>111243</v>
      </c>
      <c r="O335" s="9">
        <f>N335-M335</f>
        <v/>
      </c>
      <c r="P335" s="8" t="inlineStr">
        <is>
          <t>MS3 SAR approval of engineering 10% x station price share 8.97% | Design stage key 20.0% of the SAR-approval milestone</t>
        </is>
      </c>
      <c r="Q335" s="8" t="inlineStr">
        <is>
          <t>Annex 3 Design and engineering package (railway) allocated by station hardware share</t>
        </is>
      </c>
      <c r="R335" s="9" t="n">
        <v>101</v>
      </c>
      <c r="S335" s="19">
        <f>R335/1000</f>
        <v/>
      </c>
      <c r="T335" s="20" t="n">
        <v>46824</v>
      </c>
      <c r="U335" s="20" t="n">
        <v>46842</v>
      </c>
      <c r="V335" s="8" t="n">
        <v>15</v>
      </c>
    </row>
    <row r="336">
      <c r="A336" s="8" t="inlineStr">
        <is>
          <t>SH-DES</t>
        </is>
      </c>
      <c r="B336" s="8" t="inlineStr">
        <is>
          <t>Design and engineering package (per railway, allocated to the station)</t>
        </is>
      </c>
      <c r="C336" s="8" t="inlineStr">
        <is>
          <t>HMD-E1070</t>
        </is>
      </c>
      <c r="D336" s="8" t="inlineStr">
        <is>
          <t>Detailed design: submittal (drawings, BOQ, data sheets) - Madinah</t>
        </is>
      </c>
      <c r="E336" s="8" t="inlineStr">
        <is>
          <t>ENG.HMD.DET.SUB</t>
        </is>
      </c>
      <c r="F336" s="8" t="inlineStr">
        <is>
          <t>Engineering</t>
        </is>
      </c>
      <c r="G336" s="8" t="inlineStr">
        <is>
          <t>HMD</t>
        </is>
      </c>
      <c r="H336" s="8" t="inlineStr">
        <is>
          <t>MS2</t>
        </is>
      </c>
      <c r="I336" s="16" t="n">
        <v>0.1</v>
      </c>
      <c r="J336" s="10">
        <f>Station_BOQ!R14</f>
        <v/>
      </c>
      <c r="K336" s="9">
        <f>I336*62000000*J336</f>
        <v/>
      </c>
      <c r="L336" s="18" t="n">
        <v>0.392</v>
      </c>
      <c r="M336" s="9">
        <f>ROUND(K336*L336,0)</f>
        <v/>
      </c>
      <c r="N336" s="9" t="n">
        <v>218036</v>
      </c>
      <c r="O336" s="9">
        <f>N336-M336</f>
        <v/>
      </c>
      <c r="P336" s="8" t="inlineStr">
        <is>
          <t>MS2 Engineering submittal 10% x station price share 8.97% | Design stage key 39.2% of the engineering-submittal milestone</t>
        </is>
      </c>
      <c r="Q336" s="8" t="inlineStr">
        <is>
          <t>Annex 3 Design and engineering package (railway) allocated by station hardware share</t>
        </is>
      </c>
      <c r="R336" s="9" t="n">
        <v>166</v>
      </c>
      <c r="S336" s="19">
        <f>R336/1000</f>
        <v/>
      </c>
      <c r="T336" s="20" t="n">
        <v>46824</v>
      </c>
      <c r="U336" s="20" t="n">
        <v>46847</v>
      </c>
      <c r="V336" s="8" t="n">
        <v>18</v>
      </c>
    </row>
    <row r="337">
      <c r="A337" s="8" t="inlineStr">
        <is>
          <t>SH-DES</t>
        </is>
      </c>
      <c r="B337" s="8" t="inlineStr">
        <is>
          <t>Design and engineering package (per railway, allocated to the station)</t>
        </is>
      </c>
      <c r="C337" s="8" t="inlineStr">
        <is>
          <t>HMD-E1080</t>
        </is>
      </c>
      <c r="D337" s="8" t="inlineStr">
        <is>
          <t>Detailed design: SAR review and approval - Madinah</t>
        </is>
      </c>
      <c r="E337" s="8" t="inlineStr">
        <is>
          <t>ENG.HMD.DET.APR</t>
        </is>
      </c>
      <c r="F337" s="8" t="inlineStr">
        <is>
          <t>Engineering</t>
        </is>
      </c>
      <c r="G337" s="8" t="inlineStr">
        <is>
          <t>HMD</t>
        </is>
      </c>
      <c r="H337" s="8" t="inlineStr">
        <is>
          <t>MS3</t>
        </is>
      </c>
      <c r="I337" s="16" t="n">
        <v>0.1</v>
      </c>
      <c r="J337" s="10">
        <f>Station_BOQ!R14</f>
        <v/>
      </c>
      <c r="K337" s="9">
        <f>I337*62000000*J337</f>
        <v/>
      </c>
      <c r="L337" s="18" t="n">
        <v>0.4</v>
      </c>
      <c r="M337" s="9">
        <f>ROUND(K337*L337,0)</f>
        <v/>
      </c>
      <c r="N337" s="9" t="n">
        <v>222485</v>
      </c>
      <c r="O337" s="9">
        <f>N337-M337</f>
        <v/>
      </c>
      <c r="P337" s="8" t="inlineStr">
        <is>
          <t>MS3 SAR approval of engineering 10% x station price share 8.97% | Design stage key 40.0% of the SAR-approval milestone</t>
        </is>
      </c>
      <c r="Q337" s="8" t="inlineStr">
        <is>
          <t>Annex 3 Design and engineering package (railway) allocated by station hardware share</t>
        </is>
      </c>
      <c r="R337" s="9" t="n">
        <v>138</v>
      </c>
      <c r="S337" s="19">
        <f>R337/1000</f>
        <v/>
      </c>
      <c r="T337" s="20" t="n">
        <v>46848</v>
      </c>
      <c r="U337" s="20" t="n">
        <v>46868</v>
      </c>
      <c r="V337" s="8" t="n">
        <v>15</v>
      </c>
    </row>
    <row r="338">
      <c r="A338" s="8" t="inlineStr">
        <is>
          <t>SH-DES</t>
        </is>
      </c>
      <c r="B338" s="8" t="inlineStr">
        <is>
          <t>Design and engineering package (per railway, allocated to the station)</t>
        </is>
      </c>
      <c r="C338" s="8" t="inlineStr">
        <is>
          <t>HMD-E1090</t>
        </is>
      </c>
      <c r="D338" s="8" t="inlineStr">
        <is>
          <t>IFC and shop drawings: submittal - Madinah</t>
        </is>
      </c>
      <c r="E338" s="8" t="inlineStr">
        <is>
          <t>ENG.HMD.IFC.SUB</t>
        </is>
      </c>
      <c r="F338" s="8" t="inlineStr">
        <is>
          <t>Engineering</t>
        </is>
      </c>
      <c r="G338" s="8" t="inlineStr">
        <is>
          <t>HMD</t>
        </is>
      </c>
      <c r="H338" s="8" t="inlineStr">
        <is>
          <t>MS2</t>
        </is>
      </c>
      <c r="I338" s="16" t="n">
        <v>0.1</v>
      </c>
      <c r="J338" s="10">
        <f>Station_BOQ!R14</f>
        <v/>
      </c>
      <c r="K338" s="9">
        <f>I338*62000000*J338</f>
        <v/>
      </c>
      <c r="L338" s="18" t="n">
        <v>0.196</v>
      </c>
      <c r="M338" s="9">
        <f>ROUND(K338*L338,0)</f>
        <v/>
      </c>
      <c r="N338" s="9" t="n">
        <v>109018</v>
      </c>
      <c r="O338" s="9">
        <f>N338-M338</f>
        <v/>
      </c>
      <c r="P338" s="8" t="inlineStr">
        <is>
          <t>MS2 Engineering submittal 10% x station price share 8.97% | Design stage key 19.6% of the engineering-submittal milestone</t>
        </is>
      </c>
      <c r="Q338" s="8" t="inlineStr">
        <is>
          <t>Annex 3 Design and engineering package (railway) allocated by station hardware share</t>
        </is>
      </c>
      <c r="R338" s="9" t="n">
        <v>68</v>
      </c>
      <c r="S338" s="19">
        <f>R338/1000</f>
        <v/>
      </c>
      <c r="T338" s="20" t="n">
        <v>46848</v>
      </c>
      <c r="U338" s="20" t="n">
        <v>46860</v>
      </c>
      <c r="V338" s="8" t="n">
        <v>9</v>
      </c>
    </row>
    <row r="339">
      <c r="A339" s="8" t="inlineStr">
        <is>
          <t>SH-DES</t>
        </is>
      </c>
      <c r="B339" s="8" t="inlineStr">
        <is>
          <t>Design and engineering package (per railway, allocated to the station)</t>
        </is>
      </c>
      <c r="C339" s="8" t="inlineStr">
        <is>
          <t>HMD-E1100</t>
        </is>
      </c>
      <c r="D339" s="8" t="inlineStr">
        <is>
          <t>IFC and shop drawings: SAR approval and release - Madinah</t>
        </is>
      </c>
      <c r="E339" s="8" t="inlineStr">
        <is>
          <t>ENG.HMD.IFC.APR</t>
        </is>
      </c>
      <c r="F339" s="8" t="inlineStr">
        <is>
          <t>Engineering</t>
        </is>
      </c>
      <c r="G339" s="8" t="inlineStr">
        <is>
          <t>HMD</t>
        </is>
      </c>
      <c r="H339" s="8" t="inlineStr">
        <is>
          <t>MS3</t>
        </is>
      </c>
      <c r="I339" s="16" t="n">
        <v>0.1</v>
      </c>
      <c r="J339" s="10">
        <f>Station_BOQ!R14</f>
        <v/>
      </c>
      <c r="K339" s="9">
        <f>I339*62000000*J339</f>
        <v/>
      </c>
      <c r="L339" s="18" t="n">
        <v>0.2</v>
      </c>
      <c r="M339" s="9">
        <f>ROUND(K339*L339,0)</f>
        <v/>
      </c>
      <c r="N339" s="9" t="n">
        <v>111243</v>
      </c>
      <c r="O339" s="9">
        <f>N339-M339</f>
        <v/>
      </c>
      <c r="P339" s="8" t="inlineStr">
        <is>
          <t>MS3 SAR approval of engineering 10% x station price share 8.97% | Design stage key 20.0% of the SAR-approval milestone</t>
        </is>
      </c>
      <c r="Q339" s="8" t="inlineStr">
        <is>
          <t>Annex 3 Design and engineering package (railway) allocated by station hardware share</t>
        </is>
      </c>
      <c r="R339" s="9" t="n">
        <v>114</v>
      </c>
      <c r="S339" s="19">
        <f>R339/1000</f>
        <v/>
      </c>
      <c r="T339" s="20" t="n">
        <v>46861</v>
      </c>
      <c r="U339" s="20" t="n">
        <v>46888</v>
      </c>
      <c r="V339" s="8" t="n">
        <v>15</v>
      </c>
    </row>
    <row r="340">
      <c r="A340" s="8" t="inlineStr">
        <is>
          <t>SH-DES</t>
        </is>
      </c>
      <c r="B340" s="8" t="inlineStr">
        <is>
          <t>Design and engineering package (per railway, allocated to the station)</t>
        </is>
      </c>
      <c r="C340" s="8" t="inlineStr">
        <is>
          <t>HMD-E1110</t>
        </is>
      </c>
      <c r="D340" s="8" t="inlineStr">
        <is>
          <t>HCIS Stage 3 and 4 documents: preparation - Madinah</t>
        </is>
      </c>
      <c r="E340" s="8" t="inlineStr">
        <is>
          <t>ENG.HMD.HCS.SUB</t>
        </is>
      </c>
      <c r="F340" s="8" t="inlineStr">
        <is>
          <t>Engineering</t>
        </is>
      </c>
      <c r="G340" s="8" t="inlineStr">
        <is>
          <t>HMD</t>
        </is>
      </c>
      <c r="H340" s="8" t="inlineStr">
        <is>
          <t>MS2</t>
        </is>
      </c>
      <c r="I340" s="16" t="n">
        <v>0.1</v>
      </c>
      <c r="J340" s="10">
        <f>Station_BOQ!R14</f>
        <v/>
      </c>
      <c r="K340" s="9">
        <f>I340*62000000*J340</f>
        <v/>
      </c>
      <c r="L340" s="18" t="n">
        <v>0.049</v>
      </c>
      <c r="M340" s="9">
        <f>ROUND(K340*L340,0)</f>
        <v/>
      </c>
      <c r="N340" s="9" t="n">
        <v>27254</v>
      </c>
      <c r="O340" s="9">
        <f>N340-M340</f>
        <v/>
      </c>
      <c r="P340" s="8" t="inlineStr">
        <is>
          <t>MS2 Engineering submittal 10% x station price share 8.97% | Design stage key 4.9% of the engineering-submittal milestone</t>
        </is>
      </c>
      <c r="Q340" s="8" t="inlineStr">
        <is>
          <t>Annex 3 Design and engineering package (railway) allocated by station hardware share</t>
        </is>
      </c>
      <c r="R340" s="9" t="n">
        <v>35</v>
      </c>
      <c r="S340" s="19">
        <f>R340/1000</f>
        <v/>
      </c>
      <c r="T340" s="20" t="n">
        <v>46833</v>
      </c>
      <c r="U340" s="20" t="n">
        <v>46860</v>
      </c>
      <c r="V340" s="8" t="n">
        <v>20</v>
      </c>
    </row>
    <row r="341">
      <c r="A341" s="8" t="inlineStr">
        <is>
          <t>SH-DES</t>
        </is>
      </c>
      <c r="B341" s="8" t="inlineStr">
        <is>
          <t>Design and engineering package (per railway, allocated to the station)</t>
        </is>
      </c>
      <c r="C341" s="8" t="inlineStr">
        <is>
          <t>HMD-E1120</t>
        </is>
      </c>
      <c r="D341" s="8" t="inlineStr">
        <is>
          <t>HCIS Stage 3 and 4 documents: SAR final review and HCIS submission - Madinah</t>
        </is>
      </c>
      <c r="E341" s="8" t="inlineStr">
        <is>
          <t>ENG.HMD.HCS.APR</t>
        </is>
      </c>
      <c r="F341" s="8" t="inlineStr">
        <is>
          <t>Engineering</t>
        </is>
      </c>
      <c r="G341" s="8" t="inlineStr">
        <is>
          <t>HMD</t>
        </is>
      </c>
      <c r="H341" s="8" t="inlineStr">
        <is>
          <t>MS3</t>
        </is>
      </c>
      <c r="I341" s="16" t="n">
        <v>0.1</v>
      </c>
      <c r="J341" s="10">
        <f>Station_BOQ!R14</f>
        <v/>
      </c>
      <c r="K341" s="9">
        <f>I341*62000000*J341</f>
        <v/>
      </c>
      <c r="L341" s="18" t="n">
        <v>0.05</v>
      </c>
      <c r="M341" s="9">
        <f>ROUND(K341*L341,0)</f>
        <v/>
      </c>
      <c r="N341" s="9" t="n">
        <v>27811</v>
      </c>
      <c r="O341" s="9">
        <f>N341-M341</f>
        <v/>
      </c>
      <c r="P341" s="8" t="inlineStr">
        <is>
          <t>MS3 SAR approval of engineering 10% x station price share 8.97% | Design stage key 5.0% of the SAR-approval milestone</t>
        </is>
      </c>
      <c r="Q341" s="8" t="inlineStr">
        <is>
          <t>Annex 3 Design and engineering package (railway) allocated by station hardware share</t>
        </is>
      </c>
      <c r="R341" s="9" t="n">
        <v>26</v>
      </c>
      <c r="S341" s="19">
        <f>R341/1000</f>
        <v/>
      </c>
      <c r="T341" s="20" t="n">
        <v>46861</v>
      </c>
      <c r="U341" s="20" t="n">
        <v>46888</v>
      </c>
      <c r="V341" s="8" t="n">
        <v>15</v>
      </c>
    </row>
    <row r="342">
      <c r="A342" s="8" t="inlineStr">
        <is>
          <t>SH-DES, SH-TRN</t>
        </is>
      </c>
      <c r="B342" s="8" t="inlineStr">
        <is>
          <t>Design and engineering package (per railway, allocated to the station) and Training (per railway, allocated): documentation and training share</t>
        </is>
      </c>
      <c r="C342" s="8" t="inlineStr">
        <is>
          <t>HMD-E1130</t>
        </is>
      </c>
      <c r="D342" s="8" t="inlineStr">
        <is>
          <t>As-built and O&amp;M documentation: submittal - Madinah</t>
        </is>
      </c>
      <c r="E342" s="8" t="inlineStr">
        <is>
          <t>ENG.HMD.ASB.SUB</t>
        </is>
      </c>
      <c r="F342" s="8" t="inlineStr">
        <is>
          <t>Engineering</t>
        </is>
      </c>
      <c r="G342" s="8" t="inlineStr">
        <is>
          <t>HMD</t>
        </is>
      </c>
      <c r="H342" s="8" t="inlineStr">
        <is>
          <t>MS7</t>
        </is>
      </c>
      <c r="I342" s="16" t="n">
        <v>0.1</v>
      </c>
      <c r="J342" s="10">
        <f>Station_BOQ!R14</f>
        <v/>
      </c>
      <c r="K342" s="9">
        <f>I342*62000000*J342</f>
        <v/>
      </c>
      <c r="L342" s="18" t="n">
        <v>0.15</v>
      </c>
      <c r="M342" s="9">
        <f>ROUND(K342*L342,0)</f>
        <v/>
      </c>
      <c r="N342" s="9" t="n">
        <v>83432</v>
      </c>
      <c r="O342" s="9">
        <f>N342-M342</f>
        <v/>
      </c>
      <c r="P342" s="8" t="inlineStr">
        <is>
          <t>MS7 Final acceptance and handover 10% x station price share 8.97% | Fixed key 15% of final-acceptance milestone</t>
        </is>
      </c>
      <c r="Q342" s="8" t="inlineStr">
        <is>
          <t>Annex 3 documentation and training share</t>
        </is>
      </c>
      <c r="R342" s="9" t="n">
        <v>71</v>
      </c>
      <c r="S342" s="19">
        <f>R342/1000</f>
        <v/>
      </c>
      <c r="T342" s="20" t="n">
        <v>47132</v>
      </c>
      <c r="U342" s="20" t="n">
        <v>47189</v>
      </c>
      <c r="V342" s="8" t="n">
        <v>36</v>
      </c>
    </row>
    <row r="343">
      <c r="A343" s="8" t="inlineStr">
        <is>
          <t>SH-DES</t>
        </is>
      </c>
      <c r="B343" s="8" t="inlineStr">
        <is>
          <t>Design and engineering package (per railway, allocated to the station): documentation share</t>
        </is>
      </c>
      <c r="C343" s="8" t="inlineStr">
        <is>
          <t>HMD-E1140</t>
        </is>
      </c>
      <c r="D343" s="8" t="inlineStr">
        <is>
          <t>As-built and O&amp;M documentation: SAR review and approval - Madinah</t>
        </is>
      </c>
      <c r="E343" s="8" t="inlineStr">
        <is>
          <t>ENG.HMD.ASB.APR</t>
        </is>
      </c>
      <c r="F343" s="8" t="inlineStr">
        <is>
          <t>Engineering</t>
        </is>
      </c>
      <c r="G343" s="8" t="inlineStr">
        <is>
          <t>HMD</t>
        </is>
      </c>
      <c r="H343" s="8" t="inlineStr">
        <is>
          <t>MS7</t>
        </is>
      </c>
      <c r="I343" s="16" t="n">
        <v>0.1</v>
      </c>
      <c r="J343" s="10">
        <f>Station_BOQ!R14</f>
        <v/>
      </c>
      <c r="K343" s="9">
        <f>I343*62000000*J343</f>
        <v/>
      </c>
      <c r="L343" s="18" t="n">
        <v>0.05</v>
      </c>
      <c r="M343" s="9">
        <f>ROUND(K343*L343,0)</f>
        <v/>
      </c>
      <c r="N343" s="9" t="n">
        <v>27811</v>
      </c>
      <c r="O343" s="9">
        <f>N343-M343</f>
        <v/>
      </c>
      <c r="P343" s="8" t="inlineStr">
        <is>
          <t>MS7 Final acceptance and handover 10% x station price share 8.97% | Fixed key 5%</t>
        </is>
      </c>
      <c r="Q343" s="8" t="inlineStr">
        <is>
          <t>Annex 3 documentation share</t>
        </is>
      </c>
      <c r="R343" s="9" t="n">
        <v>30</v>
      </c>
      <c r="S343" s="19">
        <f>R343/1000</f>
        <v/>
      </c>
      <c r="T343" s="20" t="n">
        <v>47190</v>
      </c>
      <c r="U343" s="20" t="n">
        <v>47210</v>
      </c>
      <c r="V343" s="8" t="n">
        <v>15</v>
      </c>
    </row>
    <row r="344">
      <c r="A344" s="8" t="inlineStr">
        <is>
          <t>-</t>
        </is>
      </c>
      <c r="B344" s="8" t="inlineStr">
        <is>
          <t>No BOQ cost: administrative or review step with no payment milestone</t>
        </is>
      </c>
      <c r="C344" s="8" t="inlineStr">
        <is>
          <t>HMD-X1010</t>
        </is>
      </c>
      <c r="D344" s="8" t="inlineStr">
        <is>
          <t>Enabling works: site preparation, setting out, temporary works and utilities clearance - Madinah</t>
        </is>
      </c>
      <c r="E344" s="8" t="inlineStr">
        <is>
          <t>CON.HMD.ENA</t>
        </is>
      </c>
      <c r="F344" s="8" t="inlineStr">
        <is>
          <t>Construction</t>
        </is>
      </c>
      <c r="G344" s="8" t="inlineStr">
        <is>
          <t>HMD</t>
        </is>
      </c>
      <c r="H344" s="8" t="inlineStr">
        <is>
          <t>MS5</t>
        </is>
      </c>
      <c r="I344" s="16" t="n">
        <v>0.2</v>
      </c>
      <c r="J344" s="10">
        <f>Station_BOQ!R14</f>
        <v/>
      </c>
      <c r="K344" s="9">
        <f>I344*62000000*J344</f>
        <v/>
      </c>
      <c r="L344" s="18" t="n">
        <v>0.00360039339638397</v>
      </c>
      <c r="M344" s="9">
        <f>ROUND(K344*L344,0)</f>
        <v/>
      </c>
      <c r="N344" s="9" t="n">
        <v>4005</v>
      </c>
      <c r="O344" s="9">
        <f>N344-M344</f>
        <v/>
      </c>
      <c r="P344" s="8" t="inlineStr">
        <is>
          <t>MS5 Installation 20% x station price share 8.97% | BOQ civil share 9.0% x 4% (enabling: site preparation)</t>
        </is>
      </c>
      <c r="Q344" s="8" t="inlineStr">
        <is>
          <t>Annex 3 A6 Civil works (SAR 291,036)</t>
        </is>
      </c>
      <c r="R344" s="9" t="n">
        <v>86</v>
      </c>
      <c r="S344" s="19">
        <f>R344/1000</f>
        <v/>
      </c>
      <c r="T344" s="20" t="n">
        <v>46889</v>
      </c>
      <c r="U344" s="20" t="n">
        <v>46895</v>
      </c>
      <c r="V344" s="8" t="n">
        <v>5</v>
      </c>
    </row>
    <row r="345">
      <c r="A345" s="8" t="inlineStr">
        <is>
          <t>-</t>
        </is>
      </c>
      <c r="B345" s="8" t="inlineStr">
        <is>
          <t>No BOQ cost: administrative or review step with no payment milestone</t>
        </is>
      </c>
      <c r="C345" s="8" t="inlineStr">
        <is>
          <t>HMD-X1020</t>
        </is>
      </c>
      <c r="D345" s="8" t="inlineStr">
        <is>
          <t>Enabling works: cable routes, duct-bank and cabinet plinth preparation - Madinah</t>
        </is>
      </c>
      <c r="E345" s="8" t="inlineStr">
        <is>
          <t>CON.HMD.ENA</t>
        </is>
      </c>
      <c r="F345" s="8" t="inlineStr">
        <is>
          <t>Construction</t>
        </is>
      </c>
      <c r="G345" s="8" t="inlineStr">
        <is>
          <t>HMD</t>
        </is>
      </c>
      <c r="H345" s="8" t="inlineStr">
        <is>
          <t>MS5</t>
        </is>
      </c>
      <c r="I345" s="16" t="n">
        <v>0.2</v>
      </c>
      <c r="J345" s="10">
        <f>Station_BOQ!R14</f>
        <v/>
      </c>
      <c r="K345" s="9">
        <f>I345*62000000*J345</f>
        <v/>
      </c>
      <c r="L345" s="18" t="n">
        <v>0.005400590094575954</v>
      </c>
      <c r="M345" s="9">
        <f>ROUND(K345*L345,0)</f>
        <v/>
      </c>
      <c r="N345" s="9" t="n">
        <v>6008</v>
      </c>
      <c r="O345" s="9">
        <f>N345-M345</f>
        <v/>
      </c>
      <c r="P345" s="8" t="inlineStr">
        <is>
          <t>MS5 Installation 20% x station price share 8.97% | BOQ civil share 9.0% x 6% (enabling: routes, ducts, plinths)</t>
        </is>
      </c>
      <c r="Q345" s="8" t="inlineStr">
        <is>
          <t>Annex 3 A6 Civil works (SAR 291,036)</t>
        </is>
      </c>
      <c r="R345" s="9" t="n">
        <v>129</v>
      </c>
      <c r="S345" s="19">
        <f>R345/1000</f>
        <v/>
      </c>
      <c r="T345" s="20" t="n">
        <v>46896</v>
      </c>
      <c r="U345" s="20" t="n">
        <v>46909</v>
      </c>
      <c r="V345" s="8" t="n">
        <v>10</v>
      </c>
    </row>
    <row r="346">
      <c r="A346" s="8" t="inlineStr">
        <is>
          <t>A1</t>
        </is>
      </c>
      <c r="B346" s="8" t="inlineStr">
        <is>
          <t>A1 CCTV system</t>
        </is>
      </c>
      <c r="C346" s="8" t="inlineStr">
        <is>
          <t>HMD-P1010</t>
        </is>
      </c>
      <c r="D346" s="8" t="inlineStr">
        <is>
          <t>Manufacture CCTV cameras and analytics - Madinah</t>
        </is>
      </c>
      <c r="E346" s="8" t="inlineStr">
        <is>
          <t>PRO.HMD.CCT</t>
        </is>
      </c>
      <c r="F346" s="8" t="inlineStr">
        <is>
          <t>Procurement</t>
        </is>
      </c>
      <c r="G346" s="8" t="inlineStr">
        <is>
          <t>HMD</t>
        </is>
      </c>
      <c r="H346" s="8" t="inlineStr">
        <is>
          <t>MS4</t>
        </is>
      </c>
      <c r="I346" s="16" t="n">
        <v>0.2</v>
      </c>
      <c r="J346" s="10">
        <f>Station_BOQ!R14</f>
        <v/>
      </c>
      <c r="K346" s="9">
        <f>I346*62000000*J346</f>
        <v/>
      </c>
      <c r="L346" s="18" t="n">
        <v>0.2381568062741814</v>
      </c>
      <c r="M346" s="9">
        <f>ROUND(K346*L346,0)</f>
        <v/>
      </c>
      <c r="N346" s="9" t="n">
        <v>264932</v>
      </c>
      <c r="O346" s="9">
        <f>N346-M346</f>
        <v/>
      </c>
      <c r="P346" s="8" t="inlineStr">
        <is>
          <t>MS4 Material delivery 20% x station price share 8.97% | BOQ section share 31.8% of station equipment x 75% (manufacture)</t>
        </is>
      </c>
      <c r="Q346" s="8" t="inlineStr">
        <is>
          <t>Annex 3 A1 CCTV system (SAR 934,319)</t>
        </is>
      </c>
      <c r="R346" s="9" t="n">
        <v>656</v>
      </c>
      <c r="S346" s="19">
        <f>R346/1000</f>
        <v/>
      </c>
      <c r="T346" s="20" t="n">
        <v>46889</v>
      </c>
      <c r="U346" s="20" t="n">
        <v>46971</v>
      </c>
      <c r="V346" s="8" t="n">
        <v>59</v>
      </c>
    </row>
    <row r="347">
      <c r="A347" s="8" t="inlineStr">
        <is>
          <t>A2</t>
        </is>
      </c>
      <c r="B347" s="8" t="inlineStr">
        <is>
          <t>A2 Video management and video wall</t>
        </is>
      </c>
      <c r="C347" s="8" t="inlineStr">
        <is>
          <t>HMD-P1020</t>
        </is>
      </c>
      <c r="D347" s="8" t="inlineStr">
        <is>
          <t>Manufacture video management servers, storage and video wall - Madinah</t>
        </is>
      </c>
      <c r="E347" s="8" t="inlineStr">
        <is>
          <t>PRO.HMD.VMS</t>
        </is>
      </c>
      <c r="F347" s="8" t="inlineStr">
        <is>
          <t>Procurement</t>
        </is>
      </c>
      <c r="G347" s="8" t="inlineStr">
        <is>
          <t>HMD</t>
        </is>
      </c>
      <c r="H347" s="8" t="inlineStr">
        <is>
          <t>MS4</t>
        </is>
      </c>
      <c r="I347" s="16" t="n">
        <v>0.2</v>
      </c>
      <c r="J347" s="10">
        <f>Station_BOQ!R14</f>
        <v/>
      </c>
      <c r="K347" s="9">
        <f>I347*62000000*J347</f>
        <v/>
      </c>
      <c r="L347" s="18" t="n">
        <v>0.1043005168668246</v>
      </c>
      <c r="M347" s="9">
        <f>ROUND(K347*L347,0)</f>
        <v/>
      </c>
      <c r="N347" s="9" t="n">
        <v>116027</v>
      </c>
      <c r="O347" s="9">
        <f>N347-M347</f>
        <v/>
      </c>
      <c r="P347" s="8" t="inlineStr">
        <is>
          <t>MS4 Material delivery 20% x station price share 8.97% | BOQ section share 13.9% of station equipment x 75% (manufacture)</t>
        </is>
      </c>
      <c r="Q347" s="8" t="inlineStr">
        <is>
          <t>Annex 3 A2 Video management and wall (SAR 409,184)</t>
        </is>
      </c>
      <c r="R347" s="9" t="n">
        <v>287</v>
      </c>
      <c r="S347" s="19">
        <f>R347/1000</f>
        <v/>
      </c>
      <c r="T347" s="20" t="n">
        <v>46889</v>
      </c>
      <c r="U347" s="20" t="n">
        <v>46971</v>
      </c>
      <c r="V347" s="8" t="n">
        <v>59</v>
      </c>
    </row>
    <row r="348">
      <c r="A348" s="8" t="inlineStr">
        <is>
          <t>A3</t>
        </is>
      </c>
      <c r="B348" s="8" t="inlineStr">
        <is>
          <t>A3 Access control and intercom</t>
        </is>
      </c>
      <c r="C348" s="8" t="inlineStr">
        <is>
          <t>HMD-P1030</t>
        </is>
      </c>
      <c r="D348" s="8" t="inlineStr">
        <is>
          <t>Manufacture access control and intercom equipment - Madinah</t>
        </is>
      </c>
      <c r="E348" s="8" t="inlineStr">
        <is>
          <t>PRO.HMD.ACC</t>
        </is>
      </c>
      <c r="F348" s="8" t="inlineStr">
        <is>
          <t>Procurement</t>
        </is>
      </c>
      <c r="G348" s="8" t="inlineStr">
        <is>
          <t>HMD</t>
        </is>
      </c>
      <c r="H348" s="8" t="inlineStr">
        <is>
          <t>MS4</t>
        </is>
      </c>
      <c r="I348" s="16" t="n">
        <v>0.2</v>
      </c>
      <c r="J348" s="10">
        <f>Station_BOQ!R14</f>
        <v/>
      </c>
      <c r="K348" s="9">
        <f>I348*62000000*J348</f>
        <v/>
      </c>
      <c r="L348" s="18" t="n">
        <v>0.01123721427542123</v>
      </c>
      <c r="M348" s="9">
        <f>ROUND(K348*L348,0)</f>
        <v/>
      </c>
      <c r="N348" s="9" t="n">
        <v>12501</v>
      </c>
      <c r="O348" s="9">
        <f>N348-M348</f>
        <v/>
      </c>
      <c r="P348" s="8" t="inlineStr">
        <is>
          <t>MS4 Material delivery 20% x station price share 8.97% | BOQ section share 1.5% of station equipment x 75% (manufacture)</t>
        </is>
      </c>
      <c r="Q348" s="8" t="inlineStr">
        <is>
          <t>Annex 3 A3 Access control and intercom (SAR 44,085)</t>
        </is>
      </c>
      <c r="R348" s="9" t="n">
        <v>31</v>
      </c>
      <c r="S348" s="19">
        <f>R348/1000</f>
        <v/>
      </c>
      <c r="T348" s="20" t="n">
        <v>46889</v>
      </c>
      <c r="U348" s="20" t="n">
        <v>46971</v>
      </c>
      <c r="V348" s="8" t="n">
        <v>59</v>
      </c>
    </row>
    <row r="349">
      <c r="A349" s="8" t="inlineStr">
        <is>
          <t>A4, A5</t>
        </is>
      </c>
      <c r="B349" s="8" t="inlineStr">
        <is>
          <t>A4 UPS and A5 Poles, cabinets and network</t>
        </is>
      </c>
      <c r="C349" s="8" t="inlineStr">
        <is>
          <t>HMD-P1040</t>
        </is>
      </c>
      <c r="D349" s="8" t="inlineStr">
        <is>
          <t>Manufacture UPS, network switches and field cabinets - Madinah</t>
        </is>
      </c>
      <c r="E349" s="8" t="inlineStr">
        <is>
          <t>PRO.HMD.UPN</t>
        </is>
      </c>
      <c r="F349" s="8" t="inlineStr">
        <is>
          <t>Procurement</t>
        </is>
      </c>
      <c r="G349" s="8" t="inlineStr">
        <is>
          <t>HMD</t>
        </is>
      </c>
      <c r="H349" s="8" t="inlineStr">
        <is>
          <t>MS4</t>
        </is>
      </c>
      <c r="I349" s="16" t="n">
        <v>0.2</v>
      </c>
      <c r="J349" s="10">
        <f>Station_BOQ!R14</f>
        <v/>
      </c>
      <c r="K349" s="9">
        <f>I349*62000000*J349</f>
        <v/>
      </c>
      <c r="L349" s="18" t="n">
        <v>0.3963054625835728</v>
      </c>
      <c r="M349" s="9">
        <f>ROUND(K349*L349,0)</f>
        <v/>
      </c>
      <c r="N349" s="9" t="n">
        <v>440861</v>
      </c>
      <c r="O349" s="9">
        <f>N349-M349</f>
        <v/>
      </c>
      <c r="P349" s="8" t="inlineStr">
        <is>
          <t>MS4 Material delivery 20% x station price share 8.97% | BOQ section share 52.8% of station equipment x 75% (manufacture)</t>
        </is>
      </c>
      <c r="Q349" s="8" t="inlineStr">
        <is>
          <t>Annex 3 A4 UPS + A5 poles, cabinets and network (SAR 1,554,756)</t>
        </is>
      </c>
      <c r="R349" s="9" t="n">
        <v>1092</v>
      </c>
      <c r="S349" s="19">
        <f>R349/1000</f>
        <v/>
      </c>
      <c r="T349" s="20" t="n">
        <v>46889</v>
      </c>
      <c r="U349" s="20" t="n">
        <v>46971</v>
      </c>
      <c r="V349" s="8" t="n">
        <v>59</v>
      </c>
    </row>
    <row r="350">
      <c r="A350" s="8" t="inlineStr">
        <is>
          <t>SH-FAT</t>
        </is>
      </c>
      <c r="B350" s="8" t="inlineStr">
        <is>
          <t>Factory acceptance test (per railway, allocated)</t>
        </is>
      </c>
      <c r="C350" s="8" t="inlineStr">
        <is>
          <t>HMD-P1050</t>
        </is>
      </c>
      <c r="D350" s="8" t="inlineStr">
        <is>
          <t>Factory acceptance test at vendor premises - Madinah</t>
        </is>
      </c>
      <c r="E350" s="8" t="inlineStr">
        <is>
          <t>PRO.HMD.LOG</t>
        </is>
      </c>
      <c r="F350" s="8" t="inlineStr">
        <is>
          <t>Procurement</t>
        </is>
      </c>
      <c r="G350" s="8" t="inlineStr">
        <is>
          <t>HMD</t>
        </is>
      </c>
      <c r="H350" s="8" t="inlineStr">
        <is>
          <t>MS4</t>
        </is>
      </c>
      <c r="I350" s="16" t="n">
        <v>0.2</v>
      </c>
      <c r="J350" s="10">
        <f>Station_BOQ!R14</f>
        <v/>
      </c>
      <c r="K350" s="9">
        <f>I350*62000000*J350</f>
        <v/>
      </c>
      <c r="L350" s="18" t="n">
        <v>0.05</v>
      </c>
      <c r="M350" s="9">
        <f>ROUND(K350*L350,0)</f>
        <v/>
      </c>
      <c r="N350" s="9" t="n">
        <v>55621</v>
      </c>
      <c r="O350" s="9">
        <f>N350-M350</f>
        <v/>
      </c>
      <c r="P350" s="8" t="inlineStr">
        <is>
          <t>MS4 Material delivery 20% x station price share 8.97% | Fixed key 5% (FAT)</t>
        </is>
      </c>
      <c r="Q350" s="8" t="inlineStr">
        <is>
          <t>Annex 3 Factory acceptance test (railway), allocated by hardware share</t>
        </is>
      </c>
      <c r="R350" s="9" t="n">
        <v>344</v>
      </c>
      <c r="S350" s="19">
        <f>R350/1000</f>
        <v/>
      </c>
      <c r="T350" s="20" t="n">
        <v>46972</v>
      </c>
      <c r="U350" s="20" t="n">
        <v>46985</v>
      </c>
      <c r="V350" s="8" t="n">
        <v>10</v>
      </c>
    </row>
    <row r="351">
      <c r="A351" s="8" t="inlineStr">
        <is>
          <t>A1-A5</t>
        </is>
      </c>
      <c r="B351" s="8" t="inlineStr">
        <is>
          <t>A1 to A5 equipment sections: logistics (shipping, customs, delivery) share</t>
        </is>
      </c>
      <c r="C351" s="8" t="inlineStr">
        <is>
          <t>HMD-P1060</t>
        </is>
      </c>
      <c r="D351" s="8" t="inlineStr">
        <is>
          <t>Shipping and customs clearance - Madinah</t>
        </is>
      </c>
      <c r="E351" s="8" t="inlineStr">
        <is>
          <t>PRO.HMD.LOG</t>
        </is>
      </c>
      <c r="F351" s="8" t="inlineStr">
        <is>
          <t>Procurement</t>
        </is>
      </c>
      <c r="G351" s="8" t="inlineStr">
        <is>
          <t>HMD</t>
        </is>
      </c>
      <c r="H351" s="8" t="inlineStr">
        <is>
          <t>MS4</t>
        </is>
      </c>
      <c r="I351" s="16" t="n">
        <v>0.2</v>
      </c>
      <c r="J351" s="10">
        <f>Station_BOQ!R14</f>
        <v/>
      </c>
      <c r="K351" s="9">
        <f>I351*62000000*J351</f>
        <v/>
      </c>
      <c r="L351" s="18" t="n">
        <v>0.15</v>
      </c>
      <c r="M351" s="9">
        <f>ROUND(K351*L351,0)</f>
        <v/>
      </c>
      <c r="N351" s="9" t="n">
        <v>166864</v>
      </c>
      <c r="O351" s="9">
        <f>N351-M351</f>
        <v/>
      </c>
      <c r="P351" s="8" t="inlineStr">
        <is>
          <t>MS4 Material delivery 20% x station price share 8.97% | Fixed key 15% (shipping and customs)</t>
        </is>
      </c>
      <c r="Q351" s="8" t="inlineStr">
        <is>
          <t>Annex 3 equipment sections A1-A5 (logistics share)</t>
        </is>
      </c>
      <c r="R351" s="9" t="n">
        <v>689</v>
      </c>
      <c r="S351" s="19">
        <f>R351/1000</f>
        <v/>
      </c>
      <c r="T351" s="20" t="n">
        <v>46986</v>
      </c>
      <c r="U351" s="20" t="n">
        <v>47022</v>
      </c>
      <c r="V351" s="8" t="n">
        <v>27</v>
      </c>
    </row>
    <row r="352">
      <c r="A352" s="8" t="inlineStr">
        <is>
          <t>SH-SPR</t>
        </is>
      </c>
      <c r="B352" s="8" t="inlineStr">
        <is>
          <t>Commissioning spares (per railway, allocated)</t>
        </is>
      </c>
      <c r="C352" s="8" t="inlineStr">
        <is>
          <t>HMD-P1070</t>
        </is>
      </c>
      <c r="D352" s="8" t="inlineStr">
        <is>
          <t>Delivery to station and receiving inspection - Madinah</t>
        </is>
      </c>
      <c r="E352" s="8" t="inlineStr">
        <is>
          <t>PRO.HMD.LOG</t>
        </is>
      </c>
      <c r="F352" s="8" t="inlineStr">
        <is>
          <t>Procurement</t>
        </is>
      </c>
      <c r="G352" s="8" t="inlineStr">
        <is>
          <t>HMD</t>
        </is>
      </c>
      <c r="H352" s="8" t="inlineStr">
        <is>
          <t>MS4</t>
        </is>
      </c>
      <c r="I352" s="16" t="n">
        <v>0.2</v>
      </c>
      <c r="J352" s="10">
        <f>Station_BOQ!R14</f>
        <v/>
      </c>
      <c r="K352" s="9">
        <f>I352*62000000*J352</f>
        <v/>
      </c>
      <c r="L352" s="18" t="n">
        <v>0.05</v>
      </c>
      <c r="M352" s="9">
        <f>ROUND(K352*L352,0)</f>
        <v/>
      </c>
      <c r="N352" s="9" t="n">
        <v>55621</v>
      </c>
      <c r="O352" s="9">
        <f>N352-M352</f>
        <v/>
      </c>
      <c r="P352" s="8" t="inlineStr">
        <is>
          <t>MS4 Material delivery 20% x station price share 8.97% | Fixed key 5% (delivery, receiving) incl. commissioning spares</t>
        </is>
      </c>
      <c r="Q352" s="8" t="inlineStr">
        <is>
          <t>Annex 3 Commissioning spares (railway), allocated by hardware share</t>
        </is>
      </c>
      <c r="R352" s="9" t="n">
        <v>344</v>
      </c>
      <c r="S352" s="19">
        <f>R352/1000</f>
        <v/>
      </c>
      <c r="T352" s="20" t="n">
        <v>47023</v>
      </c>
      <c r="U352" s="20" t="n">
        <v>47029</v>
      </c>
      <c r="V352" s="8" t="n">
        <v>5</v>
      </c>
    </row>
    <row r="353">
      <c r="A353" s="8" t="inlineStr">
        <is>
          <t>A6</t>
        </is>
      </c>
      <c r="B353" s="8" t="inlineStr">
        <is>
          <t>A6 Civil works</t>
        </is>
      </c>
      <c r="C353" s="8" t="inlineStr">
        <is>
          <t>HMD-C1010</t>
        </is>
      </c>
      <c r="D353" s="8" t="inlineStr">
        <is>
          <t>Civil: platform trenches and duct banks - Madinah</t>
        </is>
      </c>
      <c r="E353" s="8" t="inlineStr">
        <is>
          <t>CON.HMD.CIV</t>
        </is>
      </c>
      <c r="F353" s="8" t="inlineStr">
        <is>
          <t>Construction</t>
        </is>
      </c>
      <c r="G353" s="8" t="inlineStr">
        <is>
          <t>HMD</t>
        </is>
      </c>
      <c r="H353" s="8" t="inlineStr">
        <is>
          <t>MS5</t>
        </is>
      </c>
      <c r="I353" s="16" t="n">
        <v>0.2</v>
      </c>
      <c r="J353" s="10">
        <f>Station_BOQ!R14</f>
        <v/>
      </c>
      <c r="K353" s="9">
        <f>I353*62000000*J353</f>
        <v/>
      </c>
      <c r="L353" s="18" t="n">
        <v>0.04500491745479962</v>
      </c>
      <c r="M353" s="9">
        <f>ROUND(K353*L353,0)</f>
        <v/>
      </c>
      <c r="N353" s="9" t="n">
        <v>50065</v>
      </c>
      <c r="O353" s="9">
        <f>N353-M353</f>
        <v/>
      </c>
      <c r="P353" s="8" t="inlineStr">
        <is>
          <t>MS5 Installation 20% x station price share 8.97% | BOQ civil share 9.0% x 50% (trenches and duct banks)</t>
        </is>
      </c>
      <c r="Q353" s="8" t="inlineStr">
        <is>
          <t>Annex 3 A6 Civil works (SAR 291,036)</t>
        </is>
      </c>
      <c r="R353" s="9" t="n">
        <v>560</v>
      </c>
      <c r="S353" s="19">
        <f>R353/1000</f>
        <v/>
      </c>
      <c r="T353" s="20" t="n">
        <v>46910</v>
      </c>
      <c r="U353" s="20" t="n">
        <v>46952</v>
      </c>
      <c r="V353" s="8" t="n">
        <v>31</v>
      </c>
    </row>
    <row r="354">
      <c r="A354" s="8" t="inlineStr">
        <is>
          <t>A6</t>
        </is>
      </c>
      <c r="B354" s="8" t="inlineStr">
        <is>
          <t>A6 Civil works</t>
        </is>
      </c>
      <c r="C354" s="8" t="inlineStr">
        <is>
          <t>HMD-C1020</t>
        </is>
      </c>
      <c r="D354" s="8" t="inlineStr">
        <is>
          <t>Civil: camera and ALPR pole foundations and poles - Madinah</t>
        </is>
      </c>
      <c r="E354" s="8" t="inlineStr">
        <is>
          <t>CON.HMD.CIV</t>
        </is>
      </c>
      <c r="F354" s="8" t="inlineStr">
        <is>
          <t>Construction</t>
        </is>
      </c>
      <c r="G354" s="8" t="inlineStr">
        <is>
          <t>HMD</t>
        </is>
      </c>
      <c r="H354" s="8" t="inlineStr">
        <is>
          <t>MS5</t>
        </is>
      </c>
      <c r="I354" s="16" t="n">
        <v>0.2</v>
      </c>
      <c r="J354" s="10">
        <f>Station_BOQ!R14</f>
        <v/>
      </c>
      <c r="K354" s="9">
        <f>I354*62000000*J354</f>
        <v/>
      </c>
      <c r="L354" s="18" t="n">
        <v>0.0360039339638397</v>
      </c>
      <c r="M354" s="9">
        <f>ROUND(K354*L354,0)</f>
        <v/>
      </c>
      <c r="N354" s="9" t="n">
        <v>40052</v>
      </c>
      <c r="O354" s="9">
        <f>N354-M354</f>
        <v/>
      </c>
      <c r="P354" s="8" t="inlineStr">
        <is>
          <t>MS5 Installation 20% x station price share 8.97% | BOQ civil share 9.0% x 40% (poles)</t>
        </is>
      </c>
      <c r="Q354" s="8" t="inlineStr">
        <is>
          <t>Annex 3 A6 Civil works (SAR 291,036)</t>
        </is>
      </c>
      <c r="R354" s="9" t="n">
        <v>431</v>
      </c>
      <c r="S354" s="19">
        <f>R354/1000</f>
        <v/>
      </c>
      <c r="T354" s="20" t="n">
        <v>46938</v>
      </c>
      <c r="U354" s="20" t="n">
        <v>46971</v>
      </c>
      <c r="V354" s="8" t="n">
        <v>24</v>
      </c>
    </row>
    <row r="355">
      <c r="A355" s="8" t="inlineStr">
        <is>
          <t>A1-A5</t>
        </is>
      </c>
      <c r="B355" s="8" t="inlineStr">
        <is>
          <t>A1 to A5 equipment sections: installation share (works included in unit prices)</t>
        </is>
      </c>
      <c r="C355" s="8" t="inlineStr">
        <is>
          <t>HMD-C2010</t>
        </is>
      </c>
      <c r="D355" s="8" t="inlineStr">
        <is>
          <t>Install UPS, network switches and field cabinets - Madinah</t>
        </is>
      </c>
      <c r="E355" s="8" t="inlineStr">
        <is>
          <t>CON.HMD.INS</t>
        </is>
      </c>
      <c r="F355" s="8" t="inlineStr">
        <is>
          <t>Construction</t>
        </is>
      </c>
      <c r="G355" s="8" t="inlineStr">
        <is>
          <t>HMD</t>
        </is>
      </c>
      <c r="H355" s="8" t="inlineStr">
        <is>
          <t>MS5</t>
        </is>
      </c>
      <c r="I355" s="16" t="n">
        <v>0.2</v>
      </c>
      <c r="J355" s="10">
        <f>Station_BOQ!R14</f>
        <v/>
      </c>
      <c r="K355" s="9">
        <f>I355*62000000*J355</f>
        <v/>
      </c>
      <c r="L355" s="18" t="n">
        <v>0.1819980330180802</v>
      </c>
      <c r="M355" s="9">
        <f>ROUND(K355*L355,0)</f>
        <v/>
      </c>
      <c r="N355" s="9" t="n">
        <v>202459</v>
      </c>
      <c r="O355" s="9">
        <f>N355-M355</f>
        <v/>
      </c>
      <c r="P355" s="8" t="inlineStr">
        <is>
          <t>MS5 Installation 20% x station price share 8.97% | Installation key 20% x (1 - civil share 9.0%)</t>
        </is>
      </c>
      <c r="Q355" s="8" t="inlineStr">
        <is>
          <t>Annex 3 equipment sections A1-A5 (installation share)</t>
        </is>
      </c>
      <c r="R355" s="9" t="n">
        <v>258</v>
      </c>
      <c r="S355" s="19">
        <f>R355/1000</f>
        <v/>
      </c>
      <c r="T355" s="20" t="n">
        <v>47030</v>
      </c>
      <c r="U355" s="20" t="n">
        <v>47059</v>
      </c>
      <c r="V355" s="8" t="n">
        <v>22</v>
      </c>
    </row>
    <row r="356">
      <c r="A356" s="8" t="inlineStr">
        <is>
          <t>A1-A5</t>
        </is>
      </c>
      <c r="B356" s="8" t="inlineStr">
        <is>
          <t>A1 to A5 equipment sections: installation share (works included in unit prices)</t>
        </is>
      </c>
      <c r="C356" s="8" t="inlineStr">
        <is>
          <t>HMD-C2020</t>
        </is>
      </c>
      <c r="D356" s="8" t="inlineStr">
        <is>
          <t>Cabling and termination (power, fibre, data) - Madinah</t>
        </is>
      </c>
      <c r="E356" s="8" t="inlineStr">
        <is>
          <t>CON.HMD.INS</t>
        </is>
      </c>
      <c r="F356" s="8" t="inlineStr">
        <is>
          <t>Construction</t>
        </is>
      </c>
      <c r="G356" s="8" t="inlineStr">
        <is>
          <t>HMD</t>
        </is>
      </c>
      <c r="H356" s="8" t="inlineStr">
        <is>
          <t>MS5</t>
        </is>
      </c>
      <c r="I356" s="16" t="n">
        <v>0.2</v>
      </c>
      <c r="J356" s="10">
        <f>Station_BOQ!R14</f>
        <v/>
      </c>
      <c r="K356" s="9">
        <f>I356*62000000*J356</f>
        <v/>
      </c>
      <c r="L356" s="18" t="n">
        <v>0.2729970495271202</v>
      </c>
      <c r="M356" s="9">
        <f>ROUND(K356*L356,0)</f>
        <v/>
      </c>
      <c r="N356" s="9" t="n">
        <v>303689</v>
      </c>
      <c r="O356" s="9">
        <f>N356-M356</f>
        <v/>
      </c>
      <c r="P356" s="8" t="inlineStr">
        <is>
          <t>MS5 Installation 20% x station price share 8.97% | Installation key 30% x (1 - civil share 9.0%)</t>
        </is>
      </c>
      <c r="Q356" s="8" t="inlineStr">
        <is>
          <t>Annex 3 equipment sections A1-A5 (installation share)</t>
        </is>
      </c>
      <c r="R356" s="9" t="n">
        <v>517</v>
      </c>
      <c r="S356" s="19">
        <f>R356/1000</f>
        <v/>
      </c>
      <c r="T356" s="20" t="n">
        <v>47041</v>
      </c>
      <c r="U356" s="20" t="n">
        <v>47090</v>
      </c>
      <c r="V356" s="8" t="n">
        <v>36</v>
      </c>
    </row>
    <row r="357">
      <c r="A357" s="8" t="inlineStr">
        <is>
          <t>A1-A5</t>
        </is>
      </c>
      <c r="B357" s="8" t="inlineStr">
        <is>
          <t>A1 to A5 equipment sections: installation share (works included in unit prices)</t>
        </is>
      </c>
      <c r="C357" s="8" t="inlineStr">
        <is>
          <t>HMD-C2030</t>
        </is>
      </c>
      <c r="D357" s="8" t="inlineStr">
        <is>
          <t>Install and aim CCTV cameras - Madinah</t>
        </is>
      </c>
      <c r="E357" s="8" t="inlineStr">
        <is>
          <t>CON.HMD.INS</t>
        </is>
      </c>
      <c r="F357" s="8" t="inlineStr">
        <is>
          <t>Construction</t>
        </is>
      </c>
      <c r="G357" s="8" t="inlineStr">
        <is>
          <t>HMD</t>
        </is>
      </c>
      <c r="H357" s="8" t="inlineStr">
        <is>
          <t>MS5</t>
        </is>
      </c>
      <c r="I357" s="16" t="n">
        <v>0.2</v>
      </c>
      <c r="J357" s="10">
        <f>Station_BOQ!R14</f>
        <v/>
      </c>
      <c r="K357" s="9">
        <f>I357*62000000*J357</f>
        <v/>
      </c>
      <c r="L357" s="18" t="n">
        <v>0.2274975412726002</v>
      </c>
      <c r="M357" s="9">
        <f>ROUND(K357*L357,0)</f>
        <v/>
      </c>
      <c r="N357" s="9" t="n">
        <v>253074</v>
      </c>
      <c r="O357" s="9">
        <f>N357-M357</f>
        <v/>
      </c>
      <c r="P357" s="8" t="inlineStr">
        <is>
          <t>MS5 Installation 20% x station price share 8.97% | Installation key 25% x (1 - civil share 9.0%)</t>
        </is>
      </c>
      <c r="Q357" s="8" t="inlineStr">
        <is>
          <t>Annex 3 equipment sections A1-A5 (installation share)</t>
        </is>
      </c>
      <c r="R357" s="9" t="n">
        <v>431</v>
      </c>
      <c r="S357" s="19">
        <f>R357/1000</f>
        <v/>
      </c>
      <c r="T357" s="20" t="n">
        <v>47091</v>
      </c>
      <c r="U357" s="20" t="n">
        <v>47129</v>
      </c>
      <c r="V357" s="8" t="n">
        <v>29</v>
      </c>
    </row>
    <row r="358">
      <c r="A358" s="8" t="inlineStr">
        <is>
          <t>A1-A5</t>
        </is>
      </c>
      <c r="B358" s="8" t="inlineStr">
        <is>
          <t>A1 to A5 equipment sections: installation share (works included in unit prices)</t>
        </is>
      </c>
      <c r="C358" s="8" t="inlineStr">
        <is>
          <t>HMD-C2040</t>
        </is>
      </c>
      <c r="D358" s="8" t="inlineStr">
        <is>
          <t>Install video management, video wall and control-room equipment - Madinah</t>
        </is>
      </c>
      <c r="E358" s="8" t="inlineStr">
        <is>
          <t>CON.HMD.INS</t>
        </is>
      </c>
      <c r="F358" s="8" t="inlineStr">
        <is>
          <t>Construction</t>
        </is>
      </c>
      <c r="G358" s="8" t="inlineStr">
        <is>
          <t>HMD</t>
        </is>
      </c>
      <c r="H358" s="8" t="inlineStr">
        <is>
          <t>MS5</t>
        </is>
      </c>
      <c r="I358" s="16" t="n">
        <v>0.2</v>
      </c>
      <c r="J358" s="10">
        <f>Station_BOQ!R14</f>
        <v/>
      </c>
      <c r="K358" s="9">
        <f>I358*62000000*J358</f>
        <v/>
      </c>
      <c r="L358" s="18" t="n">
        <v>0.1364985247635601</v>
      </c>
      <c r="M358" s="9">
        <f>ROUND(K358*L358,0)</f>
        <v/>
      </c>
      <c r="N358" s="9" t="n">
        <v>151845</v>
      </c>
      <c r="O358" s="9">
        <f>N358-M358</f>
        <v/>
      </c>
      <c r="P358" s="8" t="inlineStr">
        <is>
          <t>MS5 Installation 20% x station price share 8.97% | Installation key 15% x (1 - civil share 9.0%)</t>
        </is>
      </c>
      <c r="Q358" s="8" t="inlineStr">
        <is>
          <t>Annex 3 equipment sections A1-A5 (installation share)</t>
        </is>
      </c>
      <c r="R358" s="9" t="n">
        <v>258</v>
      </c>
      <c r="S358" s="19">
        <f>R358/1000</f>
        <v/>
      </c>
      <c r="T358" s="20" t="n">
        <v>47062</v>
      </c>
      <c r="U358" s="20" t="n">
        <v>47094</v>
      </c>
      <c r="V358" s="8" t="n">
        <v>25</v>
      </c>
    </row>
    <row r="359">
      <c r="A359" s="8" t="inlineStr">
        <is>
          <t>A1-A5</t>
        </is>
      </c>
      <c r="B359" s="8" t="inlineStr">
        <is>
          <t>A1 to A5 equipment sections: installation share (works included in unit prices)</t>
        </is>
      </c>
      <c r="C359" s="8" t="inlineStr">
        <is>
          <t>HMD-C2050</t>
        </is>
      </c>
      <c r="D359" s="8" t="inlineStr">
        <is>
          <t>Install access control and intercom - Madinah</t>
        </is>
      </c>
      <c r="E359" s="8" t="inlineStr">
        <is>
          <t>CON.HMD.INS</t>
        </is>
      </c>
      <c r="F359" s="8" t="inlineStr">
        <is>
          <t>Construction</t>
        </is>
      </c>
      <c r="G359" s="8" t="inlineStr">
        <is>
          <t>HMD</t>
        </is>
      </c>
      <c r="H359" s="8" t="inlineStr">
        <is>
          <t>MS5</t>
        </is>
      </c>
      <c r="I359" s="16" t="n">
        <v>0.2</v>
      </c>
      <c r="J359" s="10">
        <f>Station_BOQ!R14</f>
        <v/>
      </c>
      <c r="K359" s="9">
        <f>I359*62000000*J359</f>
        <v/>
      </c>
      <c r="L359" s="18" t="n">
        <v>0.09099901650904008</v>
      </c>
      <c r="M359" s="9">
        <f>ROUND(K359*L359,0)</f>
        <v/>
      </c>
      <c r="N359" s="9" t="n">
        <v>101230</v>
      </c>
      <c r="O359" s="9">
        <f>N359-M359</f>
        <v/>
      </c>
      <c r="P359" s="8" t="inlineStr">
        <is>
          <t>MS5 Installation 20% x station price share 8.97% | Installation key 10% x (1 - civil share 9.0%)</t>
        </is>
      </c>
      <c r="Q359" s="8" t="inlineStr">
        <is>
          <t>Annex 3 equipment sections A1-A5 (installation share)</t>
        </is>
      </c>
      <c r="R359" s="9" t="n">
        <v>172</v>
      </c>
      <c r="S359" s="19">
        <f>R359/1000</f>
        <v/>
      </c>
      <c r="T359" s="20" t="n">
        <v>47071</v>
      </c>
      <c r="U359" s="20" t="n">
        <v>47100</v>
      </c>
      <c r="V359" s="8" t="n">
        <v>22</v>
      </c>
    </row>
    <row r="360">
      <c r="A360" s="8" t="inlineStr">
        <is>
          <t>A1-A5</t>
        </is>
      </c>
      <c r="B360" s="8" t="inlineStr">
        <is>
          <t>A1 to A5 equipment sections: testing and commissioning share</t>
        </is>
      </c>
      <c r="C360" s="8" t="inlineStr">
        <is>
          <t>HMD-T1010</t>
        </is>
      </c>
      <c r="D360" s="8" t="inlineStr">
        <is>
          <t>Pre-commissioning and loop checks - Madinah</t>
        </is>
      </c>
      <c r="E360" s="8" t="inlineStr">
        <is>
          <t>COM.HMD.TST</t>
        </is>
      </c>
      <c r="F360" s="8" t="inlineStr">
        <is>
          <t>Commissioning and handover</t>
        </is>
      </c>
      <c r="G360" s="8" t="inlineStr">
        <is>
          <t>HMD</t>
        </is>
      </c>
      <c r="H360" s="8" t="inlineStr">
        <is>
          <t>MS6</t>
        </is>
      </c>
      <c r="I360" s="16" t="n">
        <v>0.1</v>
      </c>
      <c r="J360" s="10">
        <f>Station_BOQ!R14</f>
        <v/>
      </c>
      <c r="K360" s="9">
        <f>I360*62000000*J360</f>
        <v/>
      </c>
      <c r="L360" s="18" t="n">
        <v>0.4</v>
      </c>
      <c r="M360" s="9">
        <f>ROUND(K360*L360,0)</f>
        <v/>
      </c>
      <c r="N360" s="9" t="n">
        <v>222485</v>
      </c>
      <c r="O360" s="9">
        <f>N360-M360</f>
        <v/>
      </c>
      <c r="P360" s="8" t="inlineStr">
        <is>
          <t>MS6 Testing and commissioning (SAT) 10% x station price share 8.97% | Fixed key 40% of SAT milestone</t>
        </is>
      </c>
      <c r="Q360" s="8" t="inlineStr">
        <is>
          <t>Annex 3 equipment sections A1-A5 (testing share)</t>
        </is>
      </c>
      <c r="R360" s="9" t="n">
        <v>258</v>
      </c>
      <c r="S360" s="19">
        <f>R360/1000</f>
        <v/>
      </c>
      <c r="T360" s="20" t="n">
        <v>47132</v>
      </c>
      <c r="U360" s="20" t="n">
        <v>47141</v>
      </c>
      <c r="V360" s="8" t="n">
        <v>8</v>
      </c>
    </row>
    <row r="361">
      <c r="A361" s="8" t="inlineStr">
        <is>
          <t>A1-A5</t>
        </is>
      </c>
      <c r="B361" s="8" t="inlineStr">
        <is>
          <t>A1 to A5 equipment sections: testing and commissioning share</t>
        </is>
      </c>
      <c r="C361" s="8" t="inlineStr">
        <is>
          <t>HMD-T1020</t>
        </is>
      </c>
      <c r="D361" s="8" t="inlineStr">
        <is>
          <t>Site acceptance test (SAT) and commissioning - Madinah</t>
        </is>
      </c>
      <c r="E361" s="8" t="inlineStr">
        <is>
          <t>COM.HMD.TST</t>
        </is>
      </c>
      <c r="F361" s="8" t="inlineStr">
        <is>
          <t>Commissioning and handover</t>
        </is>
      </c>
      <c r="G361" s="8" t="inlineStr">
        <is>
          <t>HMD</t>
        </is>
      </c>
      <c r="H361" s="8" t="inlineStr">
        <is>
          <t>MS6</t>
        </is>
      </c>
      <c r="I361" s="16" t="n">
        <v>0.1</v>
      </c>
      <c r="J361" s="10">
        <f>Station_BOQ!R14</f>
        <v/>
      </c>
      <c r="K361" s="9">
        <f>I361*62000000*J361</f>
        <v/>
      </c>
      <c r="L361" s="18" t="n">
        <v>0.6</v>
      </c>
      <c r="M361" s="9">
        <f>ROUND(K361*L361,0)</f>
        <v/>
      </c>
      <c r="N361" s="9" t="n">
        <v>333728</v>
      </c>
      <c r="O361" s="9">
        <f>N361-M361</f>
        <v/>
      </c>
      <c r="P361" s="8" t="inlineStr">
        <is>
          <t>MS6 Testing and commissioning (SAT) 10% x station price share 8.97% | Fixed key 60% of SAT milestone</t>
        </is>
      </c>
      <c r="Q361" s="8" t="inlineStr">
        <is>
          <t>Annex 3 equipment sections A1-A5 (testing share)</t>
        </is>
      </c>
      <c r="R361" s="9" t="n">
        <v>344</v>
      </c>
      <c r="S361" s="19">
        <f>R361/1000</f>
        <v/>
      </c>
      <c r="T361" s="20" t="n">
        <v>47142</v>
      </c>
      <c r="U361" s="20" t="n">
        <v>47167</v>
      </c>
      <c r="V361" s="8" t="n">
        <v>13</v>
      </c>
    </row>
    <row r="362">
      <c r="A362" s="8" t="inlineStr">
        <is>
          <t>SH-TRN</t>
        </is>
      </c>
      <c r="B362" s="8" t="inlineStr">
        <is>
          <t>Training (per railway, allocated)</t>
        </is>
      </c>
      <c r="C362" s="8" t="inlineStr">
        <is>
          <t>HMD-T2010</t>
        </is>
      </c>
      <c r="D362" s="8" t="inlineStr">
        <is>
          <t>Operator and maintenance training - Madinah</t>
        </is>
      </c>
      <c r="E362" s="8" t="inlineStr">
        <is>
          <t>COM.HMD.TRN</t>
        </is>
      </c>
      <c r="F362" s="8" t="inlineStr">
        <is>
          <t>Commissioning and handover</t>
        </is>
      </c>
      <c r="G362" s="8" t="inlineStr">
        <is>
          <t>HMD</t>
        </is>
      </c>
      <c r="H362" s="8" t="inlineStr">
        <is>
          <t>MS7</t>
        </is>
      </c>
      <c r="I362" s="16" t="n">
        <v>0.1</v>
      </c>
      <c r="J362" s="10">
        <f>Station_BOQ!R14</f>
        <v/>
      </c>
      <c r="K362" s="9">
        <f>I362*62000000*J362</f>
        <v/>
      </c>
      <c r="L362" s="18" t="n">
        <v>0.15</v>
      </c>
      <c r="M362" s="9">
        <f>ROUND(K362*L362,0)</f>
        <v/>
      </c>
      <c r="N362" s="9" t="n">
        <v>83432</v>
      </c>
      <c r="O362" s="9">
        <f>N362-M362</f>
        <v/>
      </c>
      <c r="P362" s="8" t="inlineStr">
        <is>
          <t>MS7 Final acceptance and handover 10% x station price share 8.97% | Fixed key 15%</t>
        </is>
      </c>
      <c r="Q362" s="8" t="inlineStr">
        <is>
          <t>Annex 3 Training (railway), allocated by hardware share</t>
        </is>
      </c>
      <c r="R362" s="9" t="n">
        <v>172</v>
      </c>
      <c r="S362" s="19">
        <f>R362/1000</f>
        <v/>
      </c>
      <c r="T362" s="20" t="n">
        <v>47168</v>
      </c>
      <c r="U362" s="20" t="n">
        <v>47182</v>
      </c>
      <c r="V362" s="8" t="n">
        <v>10</v>
      </c>
    </row>
    <row r="363">
      <c r="A363" s="8" t="inlineStr">
        <is>
          <t>A1-A5</t>
        </is>
      </c>
      <c r="B363" s="8" t="inlineStr">
        <is>
          <t>A1 to A5 equipment sections: trial operation share</t>
        </is>
      </c>
      <c r="C363" s="8" t="inlineStr">
        <is>
          <t>HMD-T2020</t>
        </is>
      </c>
      <c r="D363" s="8" t="inlineStr">
        <is>
          <t>Trial operation (maximum 45 days) - Madinah</t>
        </is>
      </c>
      <c r="E363" s="8" t="inlineStr">
        <is>
          <t>COM.HMD.TOA</t>
        </is>
      </c>
      <c r="F363" s="8" t="inlineStr">
        <is>
          <t>Commissioning and handover</t>
        </is>
      </c>
      <c r="G363" s="8" t="inlineStr">
        <is>
          <t>HMD</t>
        </is>
      </c>
      <c r="H363" s="8" t="inlineStr">
        <is>
          <t>MS7</t>
        </is>
      </c>
      <c r="I363" s="16" t="n">
        <v>0.1</v>
      </c>
      <c r="J363" s="10">
        <f>Station_BOQ!R14</f>
        <v/>
      </c>
      <c r="K363" s="9">
        <f>I363*62000000*J363</f>
        <v/>
      </c>
      <c r="L363" s="18" t="n">
        <v>0.35</v>
      </c>
      <c r="M363" s="9">
        <f>ROUND(K363*L363,0)</f>
        <v/>
      </c>
      <c r="N363" s="9" t="n">
        <v>194675</v>
      </c>
      <c r="O363" s="9">
        <f>N363-M363</f>
        <v/>
      </c>
      <c r="P363" s="8" t="inlineStr">
        <is>
          <t>MS7 Final acceptance and handover 10% x station price share 8.97% | Fixed key 35%</t>
        </is>
      </c>
      <c r="Q363" s="8" t="inlineStr">
        <is>
          <t>Annex 3 equipment sections A1-A5 (trial operation share)</t>
        </is>
      </c>
      <c r="R363" s="9" t="n">
        <v>258</v>
      </c>
      <c r="S363" s="19">
        <f>R363/1000</f>
        <v/>
      </c>
      <c r="T363" s="20" t="n">
        <v>47168</v>
      </c>
      <c r="U363" s="20" t="n">
        <v>47210</v>
      </c>
      <c r="V363" s="8" t="n">
        <v>30</v>
      </c>
    </row>
    <row r="364">
      <c r="A364" s="8" t="inlineStr">
        <is>
          <t>A1-A5</t>
        </is>
      </c>
      <c r="B364" s="8" t="inlineStr">
        <is>
          <t>A1 to A5 equipment sections: handover share</t>
        </is>
      </c>
      <c r="C364" s="8" t="inlineStr">
        <is>
          <t>HMD-T3010</t>
        </is>
      </c>
      <c r="D364" s="8" t="inlineStr">
        <is>
          <t>Taking-over application, SAR review and handover - Madinah</t>
        </is>
      </c>
      <c r="E364" s="8" t="inlineStr">
        <is>
          <t>COM.HMD.TOA</t>
        </is>
      </c>
      <c r="F364" s="8" t="inlineStr">
        <is>
          <t>Commissioning and handover</t>
        </is>
      </c>
      <c r="G364" s="8" t="inlineStr">
        <is>
          <t>HMD</t>
        </is>
      </c>
      <c r="H364" s="8" t="inlineStr">
        <is>
          <t>MS7</t>
        </is>
      </c>
      <c r="I364" s="16" t="n">
        <v>0.1</v>
      </c>
      <c r="J364" s="10">
        <f>Station_BOQ!R14</f>
        <v/>
      </c>
      <c r="K364" s="9">
        <f>I364*62000000*J364</f>
        <v/>
      </c>
      <c r="L364" s="18" t="n">
        <v>0.3</v>
      </c>
      <c r="M364" s="9">
        <f>ROUND(K364*L364,0)</f>
        <v/>
      </c>
      <c r="N364" s="9" t="n">
        <v>166864</v>
      </c>
      <c r="O364" s="9">
        <f>N364-M364</f>
        <v/>
      </c>
      <c r="P364" s="8" t="inlineStr">
        <is>
          <t>MS7 Final acceptance and handover 10% x station price share 8.97% | Fixed key 30%</t>
        </is>
      </c>
      <c r="Q364" s="8" t="inlineStr">
        <is>
          <t>Annex 3 equipment sections A1-A5 (handover share)</t>
        </is>
      </c>
      <c r="R364" s="9" t="n">
        <v>258</v>
      </c>
      <c r="S364" s="19">
        <f>R364/1000</f>
        <v/>
      </c>
      <c r="T364" s="20" t="n">
        <v>47211</v>
      </c>
      <c r="U364" s="20" t="n">
        <v>47247</v>
      </c>
      <c r="V364" s="8" t="n">
        <v>22</v>
      </c>
    </row>
    <row r="365">
      <c r="A365" s="8" t="inlineStr">
        <is>
          <t>SH-DES</t>
        </is>
      </c>
      <c r="B365" s="8" t="inlineStr">
        <is>
          <t>Design and engineering package (per railway, allocated to the station)</t>
        </is>
      </c>
      <c r="C365" s="8" t="inlineStr">
        <is>
          <t>EAB-E1010</t>
        </is>
      </c>
      <c r="D365" s="8" t="inlineStr">
        <is>
          <t>Survey: submittal of site survey and as-found report - Abqaiq</t>
        </is>
      </c>
      <c r="E365" s="8" t="inlineStr">
        <is>
          <t>ENG.EAB.SRV.SUB</t>
        </is>
      </c>
      <c r="F365" s="8" t="inlineStr">
        <is>
          <t>Engineering</t>
        </is>
      </c>
      <c r="G365" s="8" t="inlineStr">
        <is>
          <t>EAB</t>
        </is>
      </c>
      <c r="H365" s="8" t="inlineStr">
        <is>
          <t>MS2</t>
        </is>
      </c>
      <c r="I365" s="16" t="n">
        <v>0.1</v>
      </c>
      <c r="J365" s="10">
        <f>Station_BOQ!R15</f>
        <v/>
      </c>
      <c r="K365" s="9">
        <f>I365*62000000*J365</f>
        <v/>
      </c>
      <c r="L365" s="18" t="n">
        <v>0.06900000000000001</v>
      </c>
      <c r="M365" s="9">
        <f>ROUND(K365*L365,0)</f>
        <v/>
      </c>
      <c r="N365" s="9" t="n">
        <v>13839</v>
      </c>
      <c r="O365" s="9">
        <f>N365-M365</f>
        <v/>
      </c>
      <c r="P365" s="8" t="inlineStr">
        <is>
          <t>MS2 Engineering submittal 10% x station price share 3.23% | Design stage key 6.9% of the engineering-submittal milestone</t>
        </is>
      </c>
      <c r="Q365" s="8" t="inlineStr">
        <is>
          <t>Annex 3 Design and engineering package (railway) allocated by station hardware share</t>
        </is>
      </c>
      <c r="R365" s="9" t="n">
        <v>18</v>
      </c>
      <c r="S365" s="19">
        <f>R365/1000</f>
        <v/>
      </c>
      <c r="T365" s="20" t="n">
        <v>46820</v>
      </c>
      <c r="U365" s="20" t="n">
        <v>46831</v>
      </c>
      <c r="V365" s="8" t="n">
        <v>8</v>
      </c>
    </row>
    <row r="366">
      <c r="A366" s="8" t="inlineStr">
        <is>
          <t>SH-DES</t>
        </is>
      </c>
      <c r="B366" s="8" t="inlineStr">
        <is>
          <t>Design and engineering package (per railway, allocated to the station)</t>
        </is>
      </c>
      <c r="C366" s="8" t="inlineStr">
        <is>
          <t>EAB-E1020</t>
        </is>
      </c>
      <c r="D366" s="8" t="inlineStr">
        <is>
          <t>Survey: SAR approval of survey report - Abqaiq</t>
        </is>
      </c>
      <c r="E366" s="8" t="inlineStr">
        <is>
          <t>ENG.EAB.SRV.APR</t>
        </is>
      </c>
      <c r="F366" s="8" t="inlineStr">
        <is>
          <t>Engineering</t>
        </is>
      </c>
      <c r="G366" s="8" t="inlineStr">
        <is>
          <t>EAB</t>
        </is>
      </c>
      <c r="H366" s="8" t="inlineStr">
        <is>
          <t>MS3</t>
        </is>
      </c>
      <c r="I366" s="16" t="n">
        <v>0.1</v>
      </c>
      <c r="J366" s="10">
        <f>Station_BOQ!R15</f>
        <v/>
      </c>
      <c r="K366" s="9">
        <f>I366*62000000*J366</f>
        <v/>
      </c>
      <c r="L366" s="18" t="n">
        <v>0.05</v>
      </c>
      <c r="M366" s="9">
        <f>ROUND(K366*L366,0)</f>
        <v/>
      </c>
      <c r="N366" s="9" t="n">
        <v>10028</v>
      </c>
      <c r="O366" s="9">
        <f>N366-M366</f>
        <v/>
      </c>
      <c r="P366" s="8" t="inlineStr">
        <is>
          <t>MS3 SAR approval of engineering 10% x station price share 3.23% | Design stage key 5.0% of the SAR-approval milestone</t>
        </is>
      </c>
      <c r="Q366" s="8" t="inlineStr">
        <is>
          <t>Annex 3 Design and engineering package (railway) allocated by station hardware share</t>
        </is>
      </c>
      <c r="R366" s="9" t="n">
        <v>19</v>
      </c>
      <c r="S366" s="19">
        <f>R366/1000</f>
        <v/>
      </c>
      <c r="T366" s="20" t="n">
        <v>46832</v>
      </c>
      <c r="U366" s="20" t="n">
        <v>46852</v>
      </c>
      <c r="V366" s="8" t="n">
        <v>15</v>
      </c>
    </row>
    <row r="367">
      <c r="A367" s="8" t="inlineStr">
        <is>
          <t>SH-DES</t>
        </is>
      </c>
      <c r="B367" s="8" t="inlineStr">
        <is>
          <t>Design and engineering package (per railway, allocated to the station)</t>
        </is>
      </c>
      <c r="C367" s="8" t="inlineStr">
        <is>
          <t>EAB-E1030</t>
        </is>
      </c>
      <c r="D367" s="8" t="inlineStr">
        <is>
          <t>Concept design: submittal - Abqaiq</t>
        </is>
      </c>
      <c r="E367" s="8" t="inlineStr">
        <is>
          <t>ENG.EAB.CNC.SUB</t>
        </is>
      </c>
      <c r="F367" s="8" t="inlineStr">
        <is>
          <t>Engineering</t>
        </is>
      </c>
      <c r="G367" s="8" t="inlineStr">
        <is>
          <t>EAB</t>
        </is>
      </c>
      <c r="H367" s="8" t="inlineStr">
        <is>
          <t>MS2</t>
        </is>
      </c>
      <c r="I367" s="16" t="n">
        <v>0.1</v>
      </c>
      <c r="J367" s="10">
        <f>Station_BOQ!R15</f>
        <v/>
      </c>
      <c r="K367" s="9">
        <f>I367*62000000*J367</f>
        <v/>
      </c>
      <c r="L367" s="18" t="n">
        <v>0.098</v>
      </c>
      <c r="M367" s="9">
        <f>ROUND(K367*L367,0)</f>
        <v/>
      </c>
      <c r="N367" s="9" t="n">
        <v>19656</v>
      </c>
      <c r="O367" s="9">
        <f>N367-M367</f>
        <v/>
      </c>
      <c r="P367" s="8" t="inlineStr">
        <is>
          <t>MS2 Engineering submittal 10% x station price share 3.23% | Design stage key 9.8% of the engineering-submittal milestone</t>
        </is>
      </c>
      <c r="Q367" s="8" t="inlineStr">
        <is>
          <t>Annex 3 Design and engineering package (railway) allocated by station hardware share</t>
        </is>
      </c>
      <c r="R367" s="9" t="n">
        <v>14</v>
      </c>
      <c r="S367" s="19">
        <f>R367/1000</f>
        <v/>
      </c>
      <c r="T367" s="20" t="n">
        <v>46832</v>
      </c>
      <c r="U367" s="20" t="n">
        <v>46842</v>
      </c>
      <c r="V367" s="8" t="n">
        <v>9</v>
      </c>
    </row>
    <row r="368">
      <c r="A368" s="8" t="inlineStr">
        <is>
          <t>SH-DES</t>
        </is>
      </c>
      <c r="B368" s="8" t="inlineStr">
        <is>
          <t>Design and engineering package (per railway, allocated to the station)</t>
        </is>
      </c>
      <c r="C368" s="8" t="inlineStr">
        <is>
          <t>EAB-E1040</t>
        </is>
      </c>
      <c r="D368" s="8" t="inlineStr">
        <is>
          <t>Concept design: SAR review and approval - Abqaiq</t>
        </is>
      </c>
      <c r="E368" s="8" t="inlineStr">
        <is>
          <t>ENG.EAB.CNC.APR</t>
        </is>
      </c>
      <c r="F368" s="8" t="inlineStr">
        <is>
          <t>Engineering</t>
        </is>
      </c>
      <c r="G368" s="8" t="inlineStr">
        <is>
          <t>EAB</t>
        </is>
      </c>
      <c r="H368" s="8" t="inlineStr">
        <is>
          <t>MS3</t>
        </is>
      </c>
      <c r="I368" s="16" t="n">
        <v>0.1</v>
      </c>
      <c r="J368" s="10">
        <f>Station_BOQ!R15</f>
        <v/>
      </c>
      <c r="K368" s="9">
        <f>I368*62000000*J368</f>
        <v/>
      </c>
      <c r="L368" s="18" t="n">
        <v>0.1</v>
      </c>
      <c r="M368" s="9">
        <f>ROUND(K368*L368,0)</f>
        <v/>
      </c>
      <c r="N368" s="9" t="n">
        <v>20057</v>
      </c>
      <c r="O368" s="9">
        <f>N368-M368</f>
        <v/>
      </c>
      <c r="P368" s="8" t="inlineStr">
        <is>
          <t>MS3 SAR approval of engineering 10% x station price share 3.23% | Design stage key 10.0% of the SAR-approval milestone</t>
        </is>
      </c>
      <c r="Q368" s="8" t="inlineStr">
        <is>
          <t>Annex 3 Design and engineering package (railway) allocated by station hardware share</t>
        </is>
      </c>
      <c r="R368" s="9" t="n">
        <v>23</v>
      </c>
      <c r="S368" s="19">
        <f>R368/1000</f>
        <v/>
      </c>
      <c r="T368" s="20" t="n">
        <v>46845</v>
      </c>
      <c r="U368" s="20" t="n">
        <v>46863</v>
      </c>
      <c r="V368" s="8" t="n">
        <v>15</v>
      </c>
    </row>
    <row r="369">
      <c r="A369" s="8" t="inlineStr">
        <is>
          <t>SH-DES</t>
        </is>
      </c>
      <c r="B369" s="8" t="inlineStr">
        <is>
          <t>Design and engineering package (per railway, allocated to the station)</t>
        </is>
      </c>
      <c r="C369" s="8" t="inlineStr">
        <is>
          <t>EAB-E1050</t>
        </is>
      </c>
      <c r="D369" s="8" t="inlineStr">
        <is>
          <t>Preliminary design: submittal - Abqaiq</t>
        </is>
      </c>
      <c r="E369" s="8" t="inlineStr">
        <is>
          <t>ENG.EAB.PRE.SUB</t>
        </is>
      </c>
      <c r="F369" s="8" t="inlineStr">
        <is>
          <t>Engineering</t>
        </is>
      </c>
      <c r="G369" s="8" t="inlineStr">
        <is>
          <t>EAB</t>
        </is>
      </c>
      <c r="H369" s="8" t="inlineStr">
        <is>
          <t>MS2</t>
        </is>
      </c>
      <c r="I369" s="16" t="n">
        <v>0.1</v>
      </c>
      <c r="J369" s="10">
        <f>Station_BOQ!R15</f>
        <v/>
      </c>
      <c r="K369" s="9">
        <f>I369*62000000*J369</f>
        <v/>
      </c>
      <c r="L369" s="18" t="n">
        <v>0.196</v>
      </c>
      <c r="M369" s="9">
        <f>ROUND(K369*L369,0)</f>
        <v/>
      </c>
      <c r="N369" s="9" t="n">
        <v>39311</v>
      </c>
      <c r="O369" s="9">
        <f>N369-M369</f>
        <v/>
      </c>
      <c r="P369" s="8" t="inlineStr">
        <is>
          <t>MS2 Engineering submittal 10% x station price share 3.23% | Design stage key 19.6% of the engineering-submittal milestone</t>
        </is>
      </c>
      <c r="Q369" s="8" t="inlineStr">
        <is>
          <t>Annex 3 Design and engineering package (railway) allocated by station hardware share</t>
        </is>
      </c>
      <c r="R369" s="9" t="n">
        <v>33</v>
      </c>
      <c r="S369" s="19">
        <f>R369/1000</f>
        <v/>
      </c>
      <c r="T369" s="20" t="n">
        <v>46845</v>
      </c>
      <c r="U369" s="20" t="n">
        <v>46863</v>
      </c>
      <c r="V369" s="8" t="n">
        <v>15</v>
      </c>
    </row>
    <row r="370">
      <c r="A370" s="8" t="inlineStr">
        <is>
          <t>SH-DES</t>
        </is>
      </c>
      <c r="B370" s="8" t="inlineStr">
        <is>
          <t>Design and engineering package (per railway, allocated to the station)</t>
        </is>
      </c>
      <c r="C370" s="8" t="inlineStr">
        <is>
          <t>EAB-E1060</t>
        </is>
      </c>
      <c r="D370" s="8" t="inlineStr">
        <is>
          <t>Preliminary design: SAR review and approval - Abqaiq</t>
        </is>
      </c>
      <c r="E370" s="8" t="inlineStr">
        <is>
          <t>ENG.EAB.PRE.APR</t>
        </is>
      </c>
      <c r="F370" s="8" t="inlineStr">
        <is>
          <t>Engineering</t>
        </is>
      </c>
      <c r="G370" s="8" t="inlineStr">
        <is>
          <t>EAB</t>
        </is>
      </c>
      <c r="H370" s="8" t="inlineStr">
        <is>
          <t>MS3</t>
        </is>
      </c>
      <c r="I370" s="16" t="n">
        <v>0.1</v>
      </c>
      <c r="J370" s="10">
        <f>Station_BOQ!R15</f>
        <v/>
      </c>
      <c r="K370" s="9">
        <f>I370*62000000*J370</f>
        <v/>
      </c>
      <c r="L370" s="18" t="n">
        <v>0.2</v>
      </c>
      <c r="M370" s="9">
        <f>ROUND(K370*L370,0)</f>
        <v/>
      </c>
      <c r="N370" s="9" t="n">
        <v>40114</v>
      </c>
      <c r="O370" s="9">
        <f>N370-M370</f>
        <v/>
      </c>
      <c r="P370" s="8" t="inlineStr">
        <is>
          <t>MS3 SAR approval of engineering 10% x station price share 3.23% | Design stage key 20.0% of the SAR-approval milestone</t>
        </is>
      </c>
      <c r="Q370" s="8" t="inlineStr">
        <is>
          <t>Annex 3 Design and engineering package (railway) allocated by station hardware share</t>
        </is>
      </c>
      <c r="R370" s="9" t="n">
        <v>33</v>
      </c>
      <c r="S370" s="19">
        <f>R370/1000</f>
        <v/>
      </c>
      <c r="T370" s="20" t="n">
        <v>46866</v>
      </c>
      <c r="U370" s="20" t="n">
        <v>46891</v>
      </c>
      <c r="V370" s="8" t="n">
        <v>15</v>
      </c>
    </row>
    <row r="371">
      <c r="A371" s="8" t="inlineStr">
        <is>
          <t>SH-DES</t>
        </is>
      </c>
      <c r="B371" s="8" t="inlineStr">
        <is>
          <t>Design and engineering package (per railway, allocated to the station)</t>
        </is>
      </c>
      <c r="C371" s="8" t="inlineStr">
        <is>
          <t>EAB-E1070</t>
        </is>
      </c>
      <c r="D371" s="8" t="inlineStr">
        <is>
          <t>Detailed design: submittal (drawings, BOQ, data sheets) - Abqaiq</t>
        </is>
      </c>
      <c r="E371" s="8" t="inlineStr">
        <is>
          <t>ENG.EAB.DET.SUB</t>
        </is>
      </c>
      <c r="F371" s="8" t="inlineStr">
        <is>
          <t>Engineering</t>
        </is>
      </c>
      <c r="G371" s="8" t="inlineStr">
        <is>
          <t>EAB</t>
        </is>
      </c>
      <c r="H371" s="8" t="inlineStr">
        <is>
          <t>MS2</t>
        </is>
      </c>
      <c r="I371" s="16" t="n">
        <v>0.1</v>
      </c>
      <c r="J371" s="10">
        <f>Station_BOQ!R15</f>
        <v/>
      </c>
      <c r="K371" s="9">
        <f>I371*62000000*J371</f>
        <v/>
      </c>
      <c r="L371" s="18" t="n">
        <v>0.392</v>
      </c>
      <c r="M371" s="9">
        <f>ROUND(K371*L371,0)</f>
        <v/>
      </c>
      <c r="N371" s="9" t="n">
        <v>78623</v>
      </c>
      <c r="O371" s="9">
        <f>N371-M371</f>
        <v/>
      </c>
      <c r="P371" s="8" t="inlineStr">
        <is>
          <t>MS2 Engineering submittal 10% x station price share 3.23% | Design stage key 39.2% of the engineering-submittal milestone</t>
        </is>
      </c>
      <c r="Q371" s="8" t="inlineStr">
        <is>
          <t>Annex 3 Design and engineering package (railway) allocated by station hardware share</t>
        </is>
      </c>
      <c r="R371" s="9" t="n">
        <v>67</v>
      </c>
      <c r="S371" s="19">
        <f>R371/1000</f>
        <v/>
      </c>
      <c r="T371" s="20" t="n">
        <v>46866</v>
      </c>
      <c r="U371" s="20" t="n">
        <v>46904</v>
      </c>
      <c r="V371" s="8" t="n">
        <v>24</v>
      </c>
    </row>
    <row r="372">
      <c r="A372" s="8" t="inlineStr">
        <is>
          <t>SH-DES</t>
        </is>
      </c>
      <c r="B372" s="8" t="inlineStr">
        <is>
          <t>Design and engineering package (per railway, allocated to the station)</t>
        </is>
      </c>
      <c r="C372" s="8" t="inlineStr">
        <is>
          <t>EAB-E1080</t>
        </is>
      </c>
      <c r="D372" s="8" t="inlineStr">
        <is>
          <t>Detailed design: SAR review and approval - Abqaiq</t>
        </is>
      </c>
      <c r="E372" s="8" t="inlineStr">
        <is>
          <t>ENG.EAB.DET.APR</t>
        </is>
      </c>
      <c r="F372" s="8" t="inlineStr">
        <is>
          <t>Engineering</t>
        </is>
      </c>
      <c r="G372" s="8" t="inlineStr">
        <is>
          <t>EAB</t>
        </is>
      </c>
      <c r="H372" s="8" t="inlineStr">
        <is>
          <t>MS3</t>
        </is>
      </c>
      <c r="I372" s="16" t="n">
        <v>0.1</v>
      </c>
      <c r="J372" s="10">
        <f>Station_BOQ!R15</f>
        <v/>
      </c>
      <c r="K372" s="9">
        <f>I372*62000000*J372</f>
        <v/>
      </c>
      <c r="L372" s="18" t="n">
        <v>0.4</v>
      </c>
      <c r="M372" s="9">
        <f>ROUND(K372*L372,0)</f>
        <v/>
      </c>
      <c r="N372" s="9" t="n">
        <v>80227</v>
      </c>
      <c r="O372" s="9">
        <f>N372-M372</f>
        <v/>
      </c>
      <c r="P372" s="8" t="inlineStr">
        <is>
          <t>MS3 SAR approval of engineering 10% x station price share 3.23% | Design stage key 40.0% of the SAR-approval milestone</t>
        </is>
      </c>
      <c r="Q372" s="8" t="inlineStr">
        <is>
          <t>Annex 3 Design and engineering package (railway) allocated by station hardware share</t>
        </is>
      </c>
      <c r="R372" s="9" t="n">
        <v>42</v>
      </c>
      <c r="S372" s="19">
        <f>R372/1000</f>
        <v/>
      </c>
      <c r="T372" s="20" t="n">
        <v>46905</v>
      </c>
      <c r="U372" s="20" t="n">
        <v>46925</v>
      </c>
      <c r="V372" s="8" t="n">
        <v>15</v>
      </c>
    </row>
    <row r="373">
      <c r="A373" s="8" t="inlineStr">
        <is>
          <t>SH-DES</t>
        </is>
      </c>
      <c r="B373" s="8" t="inlineStr">
        <is>
          <t>Design and engineering package (per railway, allocated to the station)</t>
        </is>
      </c>
      <c r="C373" s="8" t="inlineStr">
        <is>
          <t>EAB-E1090</t>
        </is>
      </c>
      <c r="D373" s="8" t="inlineStr">
        <is>
          <t>IFC and shop drawings: submittal - Abqaiq</t>
        </is>
      </c>
      <c r="E373" s="8" t="inlineStr">
        <is>
          <t>ENG.EAB.IFC.SUB</t>
        </is>
      </c>
      <c r="F373" s="8" t="inlineStr">
        <is>
          <t>Engineering</t>
        </is>
      </c>
      <c r="G373" s="8" t="inlineStr">
        <is>
          <t>EAB</t>
        </is>
      </c>
      <c r="H373" s="8" t="inlineStr">
        <is>
          <t>MS2</t>
        </is>
      </c>
      <c r="I373" s="16" t="n">
        <v>0.1</v>
      </c>
      <c r="J373" s="10">
        <f>Station_BOQ!R15</f>
        <v/>
      </c>
      <c r="K373" s="9">
        <f>I373*62000000*J373</f>
        <v/>
      </c>
      <c r="L373" s="18" t="n">
        <v>0.196</v>
      </c>
      <c r="M373" s="9">
        <f>ROUND(K373*L373,0)</f>
        <v/>
      </c>
      <c r="N373" s="9" t="n">
        <v>39311</v>
      </c>
      <c r="O373" s="9">
        <f>N373-M373</f>
        <v/>
      </c>
      <c r="P373" s="8" t="inlineStr">
        <is>
          <t>MS2 Engineering submittal 10% x station price share 3.23% | Design stage key 19.6% of the engineering-submittal milestone</t>
        </is>
      </c>
      <c r="Q373" s="8" t="inlineStr">
        <is>
          <t>Annex 3 Design and engineering package (railway) allocated by station hardware share</t>
        </is>
      </c>
      <c r="R373" s="9" t="n">
        <v>28</v>
      </c>
      <c r="S373" s="19">
        <f>R373/1000</f>
        <v/>
      </c>
      <c r="T373" s="20" t="n">
        <v>46905</v>
      </c>
      <c r="U373" s="20" t="n">
        <v>46919</v>
      </c>
      <c r="V373" s="8" t="n">
        <v>11</v>
      </c>
    </row>
    <row r="374">
      <c r="A374" s="8" t="inlineStr">
        <is>
          <t>SH-DES</t>
        </is>
      </c>
      <c r="B374" s="8" t="inlineStr">
        <is>
          <t>Design and engineering package (per railway, allocated to the station)</t>
        </is>
      </c>
      <c r="C374" s="8" t="inlineStr">
        <is>
          <t>EAB-E1100</t>
        </is>
      </c>
      <c r="D374" s="8" t="inlineStr">
        <is>
          <t>IFC and shop drawings: SAR approval and release - Abqaiq</t>
        </is>
      </c>
      <c r="E374" s="8" t="inlineStr">
        <is>
          <t>ENG.EAB.IFC.APR</t>
        </is>
      </c>
      <c r="F374" s="8" t="inlineStr">
        <is>
          <t>Engineering</t>
        </is>
      </c>
      <c r="G374" s="8" t="inlineStr">
        <is>
          <t>EAB</t>
        </is>
      </c>
      <c r="H374" s="8" t="inlineStr">
        <is>
          <t>MS3</t>
        </is>
      </c>
      <c r="I374" s="16" t="n">
        <v>0.1</v>
      </c>
      <c r="J374" s="10">
        <f>Station_BOQ!R15</f>
        <v/>
      </c>
      <c r="K374" s="9">
        <f>I374*62000000*J374</f>
        <v/>
      </c>
      <c r="L374" s="18" t="n">
        <v>0.2</v>
      </c>
      <c r="M374" s="9">
        <f>ROUND(K374*L374,0)</f>
        <v/>
      </c>
      <c r="N374" s="9" t="n">
        <v>40114</v>
      </c>
      <c r="O374" s="9">
        <f>N374-M374</f>
        <v/>
      </c>
      <c r="P374" s="8" t="inlineStr">
        <is>
          <t>MS3 SAR approval of engineering 10% x station price share 3.23% | Design stage key 20.0% of the SAR-approval milestone</t>
        </is>
      </c>
      <c r="Q374" s="8" t="inlineStr">
        <is>
          <t>Annex 3 Design and engineering package (railway) allocated by station hardware share</t>
        </is>
      </c>
      <c r="R374" s="9" t="n">
        <v>38</v>
      </c>
      <c r="S374" s="19">
        <f>R374/1000</f>
        <v/>
      </c>
      <c r="T374" s="20" t="n">
        <v>46922</v>
      </c>
      <c r="U374" s="20" t="n">
        <v>46940</v>
      </c>
      <c r="V374" s="8" t="n">
        <v>15</v>
      </c>
    </row>
    <row r="375">
      <c r="A375" s="8" t="inlineStr">
        <is>
          <t>SH-DES</t>
        </is>
      </c>
      <c r="B375" s="8" t="inlineStr">
        <is>
          <t>Design and engineering package (per railway, allocated to the station)</t>
        </is>
      </c>
      <c r="C375" s="8" t="inlineStr">
        <is>
          <t>EAB-E1110</t>
        </is>
      </c>
      <c r="D375" s="8" t="inlineStr">
        <is>
          <t>HCIS Stage 3 and 4 documents: preparation - Abqaiq</t>
        </is>
      </c>
      <c r="E375" s="8" t="inlineStr">
        <is>
          <t>ENG.EAB.HCS.SUB</t>
        </is>
      </c>
      <c r="F375" s="8" t="inlineStr">
        <is>
          <t>Engineering</t>
        </is>
      </c>
      <c r="G375" s="8" t="inlineStr">
        <is>
          <t>EAB</t>
        </is>
      </c>
      <c r="H375" s="8" t="inlineStr">
        <is>
          <t>MS2</t>
        </is>
      </c>
      <c r="I375" s="16" t="n">
        <v>0.1</v>
      </c>
      <c r="J375" s="10">
        <f>Station_BOQ!R15</f>
        <v/>
      </c>
      <c r="K375" s="9">
        <f>I375*62000000*J375</f>
        <v/>
      </c>
      <c r="L375" s="18" t="n">
        <v>0.049</v>
      </c>
      <c r="M375" s="9">
        <f>ROUND(K375*L375,0)</f>
        <v/>
      </c>
      <c r="N375" s="9" t="n">
        <v>9828</v>
      </c>
      <c r="O375" s="9">
        <f>N375-M375</f>
        <v/>
      </c>
      <c r="P375" s="8" t="inlineStr">
        <is>
          <t>MS2 Engineering submittal 10% x station price share 3.23% | Design stage key 4.9% of the engineering-submittal milestone</t>
        </is>
      </c>
      <c r="Q375" s="8" t="inlineStr">
        <is>
          <t>Annex 3 Design and engineering package (railway) allocated by station hardware share</t>
        </is>
      </c>
      <c r="R375" s="9" t="n">
        <v>14</v>
      </c>
      <c r="S375" s="19">
        <f>R375/1000</f>
        <v/>
      </c>
      <c r="T375" s="20" t="n">
        <v>46884</v>
      </c>
      <c r="U375" s="20" t="n">
        <v>46919</v>
      </c>
      <c r="V375" s="8" t="n">
        <v>26</v>
      </c>
    </row>
    <row r="376">
      <c r="A376" s="8" t="inlineStr">
        <is>
          <t>SH-DES</t>
        </is>
      </c>
      <c r="B376" s="8" t="inlineStr">
        <is>
          <t>Design and engineering package (per railway, allocated to the station)</t>
        </is>
      </c>
      <c r="C376" s="8" t="inlineStr">
        <is>
          <t>EAB-E1120</t>
        </is>
      </c>
      <c r="D376" s="8" t="inlineStr">
        <is>
          <t>HCIS Stage 3 and 4 documents: SAR final review and HCIS submission - Abqaiq</t>
        </is>
      </c>
      <c r="E376" s="8" t="inlineStr">
        <is>
          <t>ENG.EAB.HCS.APR</t>
        </is>
      </c>
      <c r="F376" s="8" t="inlineStr">
        <is>
          <t>Engineering</t>
        </is>
      </c>
      <c r="G376" s="8" t="inlineStr">
        <is>
          <t>EAB</t>
        </is>
      </c>
      <c r="H376" s="8" t="inlineStr">
        <is>
          <t>MS3</t>
        </is>
      </c>
      <c r="I376" s="16" t="n">
        <v>0.1</v>
      </c>
      <c r="J376" s="10">
        <f>Station_BOQ!R15</f>
        <v/>
      </c>
      <c r="K376" s="9">
        <f>I376*62000000*J376</f>
        <v/>
      </c>
      <c r="L376" s="18" t="n">
        <v>0.05</v>
      </c>
      <c r="M376" s="9">
        <f>ROUND(K376*L376,0)</f>
        <v/>
      </c>
      <c r="N376" s="9" t="n">
        <v>10028</v>
      </c>
      <c r="O376" s="9">
        <f>N376-M376</f>
        <v/>
      </c>
      <c r="P376" s="8" t="inlineStr">
        <is>
          <t>MS3 SAR approval of engineering 10% x station price share 3.23% | Design stage key 5.0% of the SAR-approval milestone</t>
        </is>
      </c>
      <c r="Q376" s="8" t="inlineStr">
        <is>
          <t>Annex 3 Design and engineering package (railway) allocated by station hardware share</t>
        </is>
      </c>
      <c r="R376" s="9" t="n">
        <v>8</v>
      </c>
      <c r="S376" s="19">
        <f>R376/1000</f>
        <v/>
      </c>
      <c r="T376" s="20" t="n">
        <v>46922</v>
      </c>
      <c r="U376" s="20" t="n">
        <v>46940</v>
      </c>
      <c r="V376" s="8" t="n">
        <v>15</v>
      </c>
    </row>
    <row r="377">
      <c r="A377" s="8" t="inlineStr">
        <is>
          <t>SH-DES, SH-TRN</t>
        </is>
      </c>
      <c r="B377" s="8" t="inlineStr">
        <is>
          <t>Design and engineering package (per railway, allocated to the station) and Training (per railway, allocated): documentation and training share</t>
        </is>
      </c>
      <c r="C377" s="8" t="inlineStr">
        <is>
          <t>EAB-E1130</t>
        </is>
      </c>
      <c r="D377" s="8" t="inlineStr">
        <is>
          <t>As-built and O&amp;M documentation: submittal - Abqaiq</t>
        </is>
      </c>
      <c r="E377" s="8" t="inlineStr">
        <is>
          <t>ENG.EAB.ASB.SUB</t>
        </is>
      </c>
      <c r="F377" s="8" t="inlineStr">
        <is>
          <t>Engineering</t>
        </is>
      </c>
      <c r="G377" s="8" t="inlineStr">
        <is>
          <t>EAB</t>
        </is>
      </c>
      <c r="H377" s="8" t="inlineStr">
        <is>
          <t>MS7</t>
        </is>
      </c>
      <c r="I377" s="16" t="n">
        <v>0.1</v>
      </c>
      <c r="J377" s="10">
        <f>Station_BOQ!R15</f>
        <v/>
      </c>
      <c r="K377" s="9">
        <f>I377*62000000*J377</f>
        <v/>
      </c>
      <c r="L377" s="18" t="n">
        <v>0.15</v>
      </c>
      <c r="M377" s="9">
        <f>ROUND(K377*L377,0)</f>
        <v/>
      </c>
      <c r="N377" s="9" t="n">
        <v>30085</v>
      </c>
      <c r="O377" s="9">
        <f>N377-M377</f>
        <v/>
      </c>
      <c r="P377" s="8" t="inlineStr">
        <is>
          <t>MS7 Final acceptance and handover 10% x station price share 3.23% | Fixed key 15% of final-acceptance milestone</t>
        </is>
      </c>
      <c r="Q377" s="8" t="inlineStr">
        <is>
          <t>Annex 3 documentation and training share</t>
        </is>
      </c>
      <c r="R377" s="9" t="n">
        <v>23</v>
      </c>
      <c r="S377" s="19">
        <f>R377/1000</f>
        <v/>
      </c>
      <c r="T377" s="20" t="n">
        <v>47080</v>
      </c>
      <c r="U377" s="20" t="n">
        <v>47115</v>
      </c>
      <c r="V377" s="8" t="n">
        <v>26</v>
      </c>
    </row>
    <row r="378">
      <c r="A378" s="8" t="inlineStr">
        <is>
          <t>SH-DES</t>
        </is>
      </c>
      <c r="B378" s="8" t="inlineStr">
        <is>
          <t>Design and engineering package (per railway, allocated to the station): documentation share</t>
        </is>
      </c>
      <c r="C378" s="8" t="inlineStr">
        <is>
          <t>EAB-E1140</t>
        </is>
      </c>
      <c r="D378" s="8" t="inlineStr">
        <is>
          <t>As-built and O&amp;M documentation: SAR review and approval - Abqaiq</t>
        </is>
      </c>
      <c r="E378" s="8" t="inlineStr">
        <is>
          <t>ENG.EAB.ASB.APR</t>
        </is>
      </c>
      <c r="F378" s="8" t="inlineStr">
        <is>
          <t>Engineering</t>
        </is>
      </c>
      <c r="G378" s="8" t="inlineStr">
        <is>
          <t>EAB</t>
        </is>
      </c>
      <c r="H378" s="8" t="inlineStr">
        <is>
          <t>MS7</t>
        </is>
      </c>
      <c r="I378" s="16" t="n">
        <v>0.1</v>
      </c>
      <c r="J378" s="10">
        <f>Station_BOQ!R15</f>
        <v/>
      </c>
      <c r="K378" s="9">
        <f>I378*62000000*J378</f>
        <v/>
      </c>
      <c r="L378" s="18" t="n">
        <v>0.05</v>
      </c>
      <c r="M378" s="9">
        <f>ROUND(K378*L378,0)</f>
        <v/>
      </c>
      <c r="N378" s="9" t="n">
        <v>10028</v>
      </c>
      <c r="O378" s="9">
        <f>N378-M378</f>
        <v/>
      </c>
      <c r="P378" s="8" t="inlineStr">
        <is>
          <t>MS7 Final acceptance and handover 10% x station price share 3.23% | Fixed key 5%</t>
        </is>
      </c>
      <c r="Q378" s="8" t="inlineStr">
        <is>
          <t>Annex 3 documentation share</t>
        </is>
      </c>
      <c r="R378" s="9" t="n">
        <v>13</v>
      </c>
      <c r="S378" s="19">
        <f>R378/1000</f>
        <v/>
      </c>
      <c r="T378" s="20" t="n">
        <v>47118</v>
      </c>
      <c r="U378" s="20" t="n">
        <v>47136</v>
      </c>
      <c r="V378" s="8" t="n">
        <v>15</v>
      </c>
    </row>
    <row r="379">
      <c r="A379" s="8" t="inlineStr">
        <is>
          <t>-</t>
        </is>
      </c>
      <c r="B379" s="8" t="inlineStr">
        <is>
          <t>No BOQ cost: administrative or review step with no payment milestone</t>
        </is>
      </c>
      <c r="C379" s="8" t="inlineStr">
        <is>
          <t>EAB-X1010</t>
        </is>
      </c>
      <c r="D379" s="8" t="inlineStr">
        <is>
          <t>Enabling works: site preparation, setting out, temporary works and utilities clearance - Abqaiq</t>
        </is>
      </c>
      <c r="E379" s="8" t="inlineStr">
        <is>
          <t>CON.EAB.ENA</t>
        </is>
      </c>
      <c r="F379" s="8" t="inlineStr">
        <is>
          <t>Construction</t>
        </is>
      </c>
      <c r="G379" s="8" t="inlineStr">
        <is>
          <t>EAB</t>
        </is>
      </c>
      <c r="H379" s="8" t="inlineStr">
        <is>
          <t>MS5</t>
        </is>
      </c>
      <c r="I379" s="16" t="n">
        <v>0.2</v>
      </c>
      <c r="J379" s="10">
        <f>Station_BOQ!R15</f>
        <v/>
      </c>
      <c r="K379" s="9">
        <f>I379*62000000*J379</f>
        <v/>
      </c>
      <c r="L379" s="18" t="n">
        <v>0.01175508059932975</v>
      </c>
      <c r="M379" s="9">
        <f>ROUND(K379*L379,0)</f>
        <v/>
      </c>
      <c r="N379" s="9" t="n">
        <v>4715</v>
      </c>
      <c r="O379" s="9">
        <f>N379-M379</f>
        <v/>
      </c>
      <c r="P379" s="8" t="inlineStr">
        <is>
          <t>MS5 Installation 20% x station price share 3.23% | BOQ civil share 29.4% x 4% (enabling: site preparation)</t>
        </is>
      </c>
      <c r="Q379" s="8" t="inlineStr">
        <is>
          <t>Annex 3 A6 Civil works (SAR 375,936)</t>
        </is>
      </c>
      <c r="R379" s="9" t="n">
        <v>31</v>
      </c>
      <c r="S379" s="19">
        <f>R379/1000</f>
        <v/>
      </c>
      <c r="T379" s="20" t="n">
        <v>46943</v>
      </c>
      <c r="U379" s="20" t="n">
        <v>46947</v>
      </c>
      <c r="V379" s="8" t="n">
        <v>5</v>
      </c>
    </row>
    <row r="380">
      <c r="A380" s="8" t="inlineStr">
        <is>
          <t>-</t>
        </is>
      </c>
      <c r="B380" s="8" t="inlineStr">
        <is>
          <t>No BOQ cost: administrative or review step with no payment milestone</t>
        </is>
      </c>
      <c r="C380" s="8" t="inlineStr">
        <is>
          <t>EAB-X1020</t>
        </is>
      </c>
      <c r="D380" s="8" t="inlineStr">
        <is>
          <t>Enabling works: cable routes, duct-bank and cabinet plinth preparation - Abqaiq</t>
        </is>
      </c>
      <c r="E380" s="8" t="inlineStr">
        <is>
          <t>CON.EAB.ENA</t>
        </is>
      </c>
      <c r="F380" s="8" t="inlineStr">
        <is>
          <t>Construction</t>
        </is>
      </c>
      <c r="G380" s="8" t="inlineStr">
        <is>
          <t>EAB</t>
        </is>
      </c>
      <c r="H380" s="8" t="inlineStr">
        <is>
          <t>MS5</t>
        </is>
      </c>
      <c r="I380" s="16" t="n">
        <v>0.2</v>
      </c>
      <c r="J380" s="10">
        <f>Station_BOQ!R15</f>
        <v/>
      </c>
      <c r="K380" s="9">
        <f>I380*62000000*J380</f>
        <v/>
      </c>
      <c r="L380" s="18" t="n">
        <v>0.01763262089899463</v>
      </c>
      <c r="M380" s="9">
        <f>ROUND(K380*L380,0)</f>
        <v/>
      </c>
      <c r="N380" s="9" t="n">
        <v>7073</v>
      </c>
      <c r="O380" s="9">
        <f>N380-M380</f>
        <v/>
      </c>
      <c r="P380" s="8" t="inlineStr">
        <is>
          <t>MS5 Installation 20% x station price share 3.23% | BOQ civil share 29.4% x 6% (enabling: routes, ducts, plinths)</t>
        </is>
      </c>
      <c r="Q380" s="8" t="inlineStr">
        <is>
          <t>Annex 3 A6 Civil works (SAR 375,936)</t>
        </is>
      </c>
      <c r="R380" s="9" t="n">
        <v>47</v>
      </c>
      <c r="S380" s="19">
        <f>R380/1000</f>
        <v/>
      </c>
      <c r="T380" s="20" t="n">
        <v>46950</v>
      </c>
      <c r="U380" s="20" t="n">
        <v>46961</v>
      </c>
      <c r="V380" s="8" t="n">
        <v>10</v>
      </c>
    </row>
    <row r="381">
      <c r="A381" s="8" t="inlineStr">
        <is>
          <t>A1</t>
        </is>
      </c>
      <c r="B381" s="8" t="inlineStr">
        <is>
          <t>A1 CCTV system</t>
        </is>
      </c>
      <c r="C381" s="8" t="inlineStr">
        <is>
          <t>EAB-P1010</t>
        </is>
      </c>
      <c r="D381" s="8" t="inlineStr">
        <is>
          <t>Manufacture CCTV cameras and analytics - Abqaiq</t>
        </is>
      </c>
      <c r="E381" s="8" t="inlineStr">
        <is>
          <t>PRO.EAB.CCT</t>
        </is>
      </c>
      <c r="F381" s="8" t="inlineStr">
        <is>
          <t>Procurement</t>
        </is>
      </c>
      <c r="G381" s="8" t="inlineStr">
        <is>
          <t>EAB</t>
        </is>
      </c>
      <c r="H381" s="8" t="inlineStr">
        <is>
          <t>MS4</t>
        </is>
      </c>
      <c r="I381" s="16" t="n">
        <v>0.2</v>
      </c>
      <c r="J381" s="10">
        <f>Station_BOQ!R15</f>
        <v/>
      </c>
      <c r="K381" s="9">
        <f>I381*62000000*J381</f>
        <v/>
      </c>
      <c r="L381" s="18" t="n">
        <v>0.09223170112023452</v>
      </c>
      <c r="M381" s="9">
        <f>ROUND(K381*L381,0)</f>
        <v/>
      </c>
      <c r="N381" s="9" t="n">
        <v>36997</v>
      </c>
      <c r="O381" s="9">
        <f>N381-M381</f>
        <v/>
      </c>
      <c r="P381" s="8" t="inlineStr">
        <is>
          <t>MS4 Material delivery 20% x station price share 3.23% | BOQ section share 12.3% of station equipment x 75% (manufacture)</t>
        </is>
      </c>
      <c r="Q381" s="8" t="inlineStr">
        <is>
          <t>Annex 3 A1 CCTV system (SAR 111,083)</t>
        </is>
      </c>
      <c r="R381" s="9" t="n">
        <v>92</v>
      </c>
      <c r="S381" s="19">
        <f>R381/1000</f>
        <v/>
      </c>
      <c r="T381" s="20" t="n">
        <v>46943</v>
      </c>
      <c r="U381" s="20" t="n">
        <v>46995</v>
      </c>
      <c r="V381" s="8" t="n">
        <v>39</v>
      </c>
    </row>
    <row r="382">
      <c r="A382" s="8" t="inlineStr">
        <is>
          <t>A2</t>
        </is>
      </c>
      <c r="B382" s="8" t="inlineStr">
        <is>
          <t>A2 Video management and video wall</t>
        </is>
      </c>
      <c r="C382" s="8" t="inlineStr">
        <is>
          <t>EAB-P1020</t>
        </is>
      </c>
      <c r="D382" s="8" t="inlineStr">
        <is>
          <t>Manufacture video management servers, storage and video wall - Abqaiq</t>
        </is>
      </c>
      <c r="E382" s="8" t="inlineStr">
        <is>
          <t>PRO.EAB.VMS</t>
        </is>
      </c>
      <c r="F382" s="8" t="inlineStr">
        <is>
          <t>Procurement</t>
        </is>
      </c>
      <c r="G382" s="8" t="inlineStr">
        <is>
          <t>EAB</t>
        </is>
      </c>
      <c r="H382" s="8" t="inlineStr">
        <is>
          <t>MS4</t>
        </is>
      </c>
      <c r="I382" s="16" t="n">
        <v>0.2</v>
      </c>
      <c r="J382" s="10">
        <f>Station_BOQ!R15</f>
        <v/>
      </c>
      <c r="K382" s="9">
        <f>I382*62000000*J382</f>
        <v/>
      </c>
      <c r="L382" s="18" t="n">
        <v>0.2374910466482083</v>
      </c>
      <c r="M382" s="9">
        <f>ROUND(K382*L382,0)</f>
        <v/>
      </c>
      <c r="N382" s="9" t="n">
        <v>95266</v>
      </c>
      <c r="O382" s="9">
        <f>N382-M382</f>
        <v/>
      </c>
      <c r="P382" s="8" t="inlineStr">
        <is>
          <t>MS4 Material delivery 20% x station price share 3.23% | BOQ section share 31.7% of station equipment x 75% (manufacture)</t>
        </is>
      </c>
      <c r="Q382" s="8" t="inlineStr">
        <is>
          <t>Annex 3 A2 Video management and wall (SAR 286,032)</t>
        </is>
      </c>
      <c r="R382" s="9" t="n">
        <v>236</v>
      </c>
      <c r="S382" s="19">
        <f>R382/1000</f>
        <v/>
      </c>
      <c r="T382" s="20" t="n">
        <v>46943</v>
      </c>
      <c r="U382" s="20" t="n">
        <v>46995</v>
      </c>
      <c r="V382" s="8" t="n">
        <v>39</v>
      </c>
    </row>
    <row r="383">
      <c r="A383" s="8" t="inlineStr">
        <is>
          <t>A3</t>
        </is>
      </c>
      <c r="B383" s="8" t="inlineStr">
        <is>
          <t>A3 Access control and intercom</t>
        </is>
      </c>
      <c r="C383" s="8" t="inlineStr">
        <is>
          <t>EAB-P1030</t>
        </is>
      </c>
      <c r="D383" s="8" t="inlineStr">
        <is>
          <t>Manufacture access control and intercom equipment - Abqaiq</t>
        </is>
      </c>
      <c r="E383" s="8" t="inlineStr">
        <is>
          <t>PRO.EAB.ACC</t>
        </is>
      </c>
      <c r="F383" s="8" t="inlineStr">
        <is>
          <t>Procurement</t>
        </is>
      </c>
      <c r="G383" s="8" t="inlineStr">
        <is>
          <t>EAB</t>
        </is>
      </c>
      <c r="H383" s="8" t="inlineStr">
        <is>
          <t>MS4</t>
        </is>
      </c>
      <c r="I383" s="16" t="n">
        <v>0.2</v>
      </c>
      <c r="J383" s="10">
        <f>Station_BOQ!R15</f>
        <v/>
      </c>
      <c r="K383" s="9">
        <f>I383*62000000*J383</f>
        <v/>
      </c>
      <c r="L383" s="18" t="n">
        <v>0.03660357159858429</v>
      </c>
      <c r="M383" s="9">
        <f>ROUND(K383*L383,0)</f>
        <v/>
      </c>
      <c r="N383" s="9" t="n">
        <v>14683</v>
      </c>
      <c r="O383" s="9">
        <f>N383-M383</f>
        <v/>
      </c>
      <c r="P383" s="8" t="inlineStr">
        <is>
          <t>MS4 Material delivery 20% x station price share 3.23% | BOQ section share 4.9% of station equipment x 75% (manufacture)</t>
        </is>
      </c>
      <c r="Q383" s="8" t="inlineStr">
        <is>
          <t>Annex 3 A3 Access control and intercom (SAR 44,085)</t>
        </is>
      </c>
      <c r="R383" s="9" t="n">
        <v>36</v>
      </c>
      <c r="S383" s="19">
        <f>R383/1000</f>
        <v/>
      </c>
      <c r="T383" s="20" t="n">
        <v>46943</v>
      </c>
      <c r="U383" s="20" t="n">
        <v>46995</v>
      </c>
      <c r="V383" s="8" t="n">
        <v>39</v>
      </c>
    </row>
    <row r="384">
      <c r="A384" s="8" t="inlineStr">
        <is>
          <t>A4, A5</t>
        </is>
      </c>
      <c r="B384" s="8" t="inlineStr">
        <is>
          <t>A4 UPS and A5 Poles, cabinets and network</t>
        </is>
      </c>
      <c r="C384" s="8" t="inlineStr">
        <is>
          <t>EAB-P1040</t>
        </is>
      </c>
      <c r="D384" s="8" t="inlineStr">
        <is>
          <t>Manufacture UPS, network switches and field cabinets - Abqaiq</t>
        </is>
      </c>
      <c r="E384" s="8" t="inlineStr">
        <is>
          <t>PRO.EAB.UPN</t>
        </is>
      </c>
      <c r="F384" s="8" t="inlineStr">
        <is>
          <t>Procurement</t>
        </is>
      </c>
      <c r="G384" s="8" t="inlineStr">
        <is>
          <t>EAB</t>
        </is>
      </c>
      <c r="H384" s="8" t="inlineStr">
        <is>
          <t>MS4</t>
        </is>
      </c>
      <c r="I384" s="16" t="n">
        <v>0.2</v>
      </c>
      <c r="J384" s="10">
        <f>Station_BOQ!R15</f>
        <v/>
      </c>
      <c r="K384" s="9">
        <f>I384*62000000*J384</f>
        <v/>
      </c>
      <c r="L384" s="18" t="n">
        <v>0.3836736806329729</v>
      </c>
      <c r="M384" s="9">
        <f>ROUND(K384*L384,0)</f>
        <v/>
      </c>
      <c r="N384" s="9" t="n">
        <v>153905</v>
      </c>
      <c r="O384" s="9">
        <f>N384-M384</f>
        <v/>
      </c>
      <c r="P384" s="8" t="inlineStr">
        <is>
          <t>MS4 Material delivery 20% x station price share 3.23% | BOQ section share 51.2% of station equipment x 75% (manufacture)</t>
        </is>
      </c>
      <c r="Q384" s="8" t="inlineStr">
        <is>
          <t>Annex 3 A4 UPS + A5 poles, cabinets and network (SAR 462,093)</t>
        </is>
      </c>
      <c r="R384" s="9" t="n">
        <v>381</v>
      </c>
      <c r="S384" s="19">
        <f>R384/1000</f>
        <v/>
      </c>
      <c r="T384" s="20" t="n">
        <v>46943</v>
      </c>
      <c r="U384" s="20" t="n">
        <v>46995</v>
      </c>
      <c r="V384" s="8" t="n">
        <v>39</v>
      </c>
    </row>
    <row r="385">
      <c r="A385" s="8" t="inlineStr">
        <is>
          <t>SH-FAT</t>
        </is>
      </c>
      <c r="B385" s="8" t="inlineStr">
        <is>
          <t>Factory acceptance test (per railway, allocated)</t>
        </is>
      </c>
      <c r="C385" s="8" t="inlineStr">
        <is>
          <t>EAB-P1050</t>
        </is>
      </c>
      <c r="D385" s="8" t="inlineStr">
        <is>
          <t>Factory acceptance test at vendor premises - Abqaiq</t>
        </is>
      </c>
      <c r="E385" s="8" t="inlineStr">
        <is>
          <t>PRO.EAB.LOG</t>
        </is>
      </c>
      <c r="F385" s="8" t="inlineStr">
        <is>
          <t>Procurement</t>
        </is>
      </c>
      <c r="G385" s="8" t="inlineStr">
        <is>
          <t>EAB</t>
        </is>
      </c>
      <c r="H385" s="8" t="inlineStr">
        <is>
          <t>MS4</t>
        </is>
      </c>
      <c r="I385" s="16" t="n">
        <v>0.2</v>
      </c>
      <c r="J385" s="10">
        <f>Station_BOQ!R15</f>
        <v/>
      </c>
      <c r="K385" s="9">
        <f>I385*62000000*J385</f>
        <v/>
      </c>
      <c r="L385" s="18" t="n">
        <v>0.05</v>
      </c>
      <c r="M385" s="9">
        <f>ROUND(K385*L385,0)</f>
        <v/>
      </c>
      <c r="N385" s="9" t="n">
        <v>20057</v>
      </c>
      <c r="O385" s="9">
        <f>N385-M385</f>
        <v/>
      </c>
      <c r="P385" s="8" t="inlineStr">
        <is>
          <t>MS4 Material delivery 20% x station price share 3.23% | Fixed key 5% (FAT)</t>
        </is>
      </c>
      <c r="Q385" s="8" t="inlineStr">
        <is>
          <t>Annex 3 Factory acceptance test (railway), allocated by hardware share</t>
        </is>
      </c>
      <c r="R385" s="9" t="n">
        <v>124</v>
      </c>
      <c r="S385" s="19">
        <f>R385/1000</f>
        <v/>
      </c>
      <c r="T385" s="20" t="n">
        <v>46996</v>
      </c>
      <c r="U385" s="20" t="n">
        <v>47009</v>
      </c>
      <c r="V385" s="8" t="n">
        <v>10</v>
      </c>
    </row>
    <row r="386">
      <c r="A386" s="8" t="inlineStr">
        <is>
          <t>A1-A5</t>
        </is>
      </c>
      <c r="B386" s="8" t="inlineStr">
        <is>
          <t>A1 to A5 equipment sections: logistics (shipping, customs, delivery) share</t>
        </is>
      </c>
      <c r="C386" s="8" t="inlineStr">
        <is>
          <t>EAB-P1060</t>
        </is>
      </c>
      <c r="D386" s="8" t="inlineStr">
        <is>
          <t>Shipping and customs clearance - Abqaiq</t>
        </is>
      </c>
      <c r="E386" s="8" t="inlineStr">
        <is>
          <t>PRO.EAB.LOG</t>
        </is>
      </c>
      <c r="F386" s="8" t="inlineStr">
        <is>
          <t>Procurement</t>
        </is>
      </c>
      <c r="G386" s="8" t="inlineStr">
        <is>
          <t>EAB</t>
        </is>
      </c>
      <c r="H386" s="8" t="inlineStr">
        <is>
          <t>MS4</t>
        </is>
      </c>
      <c r="I386" s="16" t="n">
        <v>0.2</v>
      </c>
      <c r="J386" s="10">
        <f>Station_BOQ!R15</f>
        <v/>
      </c>
      <c r="K386" s="9">
        <f>I386*62000000*J386</f>
        <v/>
      </c>
      <c r="L386" s="18" t="n">
        <v>0.15</v>
      </c>
      <c r="M386" s="9">
        <f>ROUND(K386*L386,0)</f>
        <v/>
      </c>
      <c r="N386" s="9" t="n">
        <v>60170</v>
      </c>
      <c r="O386" s="9">
        <f>N386-M386</f>
        <v/>
      </c>
      <c r="P386" s="8" t="inlineStr">
        <is>
          <t>MS4 Material delivery 20% x station price share 3.23% | Fixed key 15% (shipping and customs)</t>
        </is>
      </c>
      <c r="Q386" s="8" t="inlineStr">
        <is>
          <t>Annex 3 equipment sections A1-A5 (logistics share)</t>
        </is>
      </c>
      <c r="R386" s="9" t="n">
        <v>248</v>
      </c>
      <c r="S386" s="19">
        <f>R386/1000</f>
        <v/>
      </c>
      <c r="T386" s="20" t="n">
        <v>47010</v>
      </c>
      <c r="U386" s="20" t="n">
        <v>47036</v>
      </c>
      <c r="V386" s="8" t="n">
        <v>19</v>
      </c>
    </row>
    <row r="387">
      <c r="A387" s="8" t="inlineStr">
        <is>
          <t>SH-SPR</t>
        </is>
      </c>
      <c r="B387" s="8" t="inlineStr">
        <is>
          <t>Commissioning spares (per railway, allocated)</t>
        </is>
      </c>
      <c r="C387" s="8" t="inlineStr">
        <is>
          <t>EAB-P1070</t>
        </is>
      </c>
      <c r="D387" s="8" t="inlineStr">
        <is>
          <t>Delivery to station and receiving inspection - Abqaiq</t>
        </is>
      </c>
      <c r="E387" s="8" t="inlineStr">
        <is>
          <t>PRO.EAB.LOG</t>
        </is>
      </c>
      <c r="F387" s="8" t="inlineStr">
        <is>
          <t>Procurement</t>
        </is>
      </c>
      <c r="G387" s="8" t="inlineStr">
        <is>
          <t>EAB</t>
        </is>
      </c>
      <c r="H387" s="8" t="inlineStr">
        <is>
          <t>MS4</t>
        </is>
      </c>
      <c r="I387" s="16" t="n">
        <v>0.2</v>
      </c>
      <c r="J387" s="10">
        <f>Station_BOQ!R15</f>
        <v/>
      </c>
      <c r="K387" s="9">
        <f>I387*62000000*J387</f>
        <v/>
      </c>
      <c r="L387" s="18" t="n">
        <v>0.05</v>
      </c>
      <c r="M387" s="9">
        <f>ROUND(K387*L387,0)</f>
        <v/>
      </c>
      <c r="N387" s="9" t="n">
        <v>20057</v>
      </c>
      <c r="O387" s="9">
        <f>N387-M387</f>
        <v/>
      </c>
      <c r="P387" s="8" t="inlineStr">
        <is>
          <t>MS4 Material delivery 20% x station price share 3.23% | Fixed key 5% (delivery, receiving) incl. commissioning spares</t>
        </is>
      </c>
      <c r="Q387" s="8" t="inlineStr">
        <is>
          <t>Annex 3 Commissioning spares (railway), allocated by hardware share</t>
        </is>
      </c>
      <c r="R387" s="9" t="n">
        <v>124</v>
      </c>
      <c r="S387" s="19">
        <f>R387/1000</f>
        <v/>
      </c>
      <c r="T387" s="20" t="n">
        <v>47037</v>
      </c>
      <c r="U387" s="20" t="n">
        <v>47043</v>
      </c>
      <c r="V387" s="8" t="n">
        <v>5</v>
      </c>
    </row>
    <row r="388">
      <c r="A388" s="8" t="inlineStr">
        <is>
          <t>A6</t>
        </is>
      </c>
      <c r="B388" s="8" t="inlineStr">
        <is>
          <t>A6 Civil works</t>
        </is>
      </c>
      <c r="C388" s="8" t="inlineStr">
        <is>
          <t>EAB-C1010</t>
        </is>
      </c>
      <c r="D388" s="8" t="inlineStr">
        <is>
          <t>Civil: platform trenches and duct banks - Abqaiq</t>
        </is>
      </c>
      <c r="E388" s="8" t="inlineStr">
        <is>
          <t>CON.EAB.CIV</t>
        </is>
      </c>
      <c r="F388" s="8" t="inlineStr">
        <is>
          <t>Construction</t>
        </is>
      </c>
      <c r="G388" s="8" t="inlineStr">
        <is>
          <t>EAB</t>
        </is>
      </c>
      <c r="H388" s="8" t="inlineStr">
        <is>
          <t>MS5</t>
        </is>
      </c>
      <c r="I388" s="16" t="n">
        <v>0.2</v>
      </c>
      <c r="J388" s="10">
        <f>Station_BOQ!R15</f>
        <v/>
      </c>
      <c r="K388" s="9">
        <f>I388*62000000*J388</f>
        <v/>
      </c>
      <c r="L388" s="18" t="n">
        <v>0.1469385074916219</v>
      </c>
      <c r="M388" s="9">
        <f>ROUND(K388*L388,0)</f>
        <v/>
      </c>
      <c r="N388" s="9" t="n">
        <v>58942</v>
      </c>
      <c r="O388" s="9">
        <f>N388-M388</f>
        <v/>
      </c>
      <c r="P388" s="8" t="inlineStr">
        <is>
          <t>MS5 Installation 20% x station price share 3.23% | BOQ civil share 29.4% x 50% (trenches and duct banks)</t>
        </is>
      </c>
      <c r="Q388" s="8" t="inlineStr">
        <is>
          <t>Annex 3 A6 Civil works (SAR 375,936)</t>
        </is>
      </c>
      <c r="R388" s="9" t="n">
        <v>202</v>
      </c>
      <c r="S388" s="19">
        <f>R388/1000</f>
        <v/>
      </c>
      <c r="T388" s="20" t="n">
        <v>46964</v>
      </c>
      <c r="U388" s="20" t="n">
        <v>47013</v>
      </c>
      <c r="V388" s="8" t="n">
        <v>36</v>
      </c>
    </row>
    <row r="389">
      <c r="A389" s="8" t="inlineStr">
        <is>
          <t>A6</t>
        </is>
      </c>
      <c r="B389" s="8" t="inlineStr">
        <is>
          <t>A6 Civil works</t>
        </is>
      </c>
      <c r="C389" s="8" t="inlineStr">
        <is>
          <t>EAB-C1020</t>
        </is>
      </c>
      <c r="D389" s="8" t="inlineStr">
        <is>
          <t>Civil: camera and ALPR pole foundations and poles - Abqaiq</t>
        </is>
      </c>
      <c r="E389" s="8" t="inlineStr">
        <is>
          <t>CON.EAB.CIV</t>
        </is>
      </c>
      <c r="F389" s="8" t="inlineStr">
        <is>
          <t>Construction</t>
        </is>
      </c>
      <c r="G389" s="8" t="inlineStr">
        <is>
          <t>EAB</t>
        </is>
      </c>
      <c r="H389" s="8" t="inlineStr">
        <is>
          <t>MS5</t>
        </is>
      </c>
      <c r="I389" s="16" t="n">
        <v>0.2</v>
      </c>
      <c r="J389" s="10">
        <f>Station_BOQ!R15</f>
        <v/>
      </c>
      <c r="K389" s="9">
        <f>I389*62000000*J389</f>
        <v/>
      </c>
      <c r="L389" s="18" t="n">
        <v>0.1175508059932975</v>
      </c>
      <c r="M389" s="9">
        <f>ROUND(K389*L389,0)</f>
        <v/>
      </c>
      <c r="N389" s="9" t="n">
        <v>47154</v>
      </c>
      <c r="O389" s="9">
        <f>N389-M389</f>
        <v/>
      </c>
      <c r="P389" s="8" t="inlineStr">
        <is>
          <t>MS5 Installation 20% x station price share 3.23% | BOQ civil share 29.4% x 40% (poles)</t>
        </is>
      </c>
      <c r="Q389" s="8" t="inlineStr">
        <is>
          <t>Annex 3 A6 Civil works (SAR 375,936)</t>
        </is>
      </c>
      <c r="R389" s="9" t="n">
        <v>155</v>
      </c>
      <c r="S389" s="19">
        <f>R389/1000</f>
        <v/>
      </c>
      <c r="T389" s="20" t="n">
        <v>46995</v>
      </c>
      <c r="U389" s="20" t="n">
        <v>47034</v>
      </c>
      <c r="V389" s="8" t="n">
        <v>28</v>
      </c>
    </row>
    <row r="390">
      <c r="A390" s="8" t="inlineStr">
        <is>
          <t>A1-A5</t>
        </is>
      </c>
      <c r="B390" s="8" t="inlineStr">
        <is>
          <t>A1 to A5 equipment sections: installation share (works included in unit prices)</t>
        </is>
      </c>
      <c r="C390" s="8" t="inlineStr">
        <is>
          <t>EAB-C2010</t>
        </is>
      </c>
      <c r="D390" s="8" t="inlineStr">
        <is>
          <t>Install UPS, network switches and field cabinets - Abqaiq</t>
        </is>
      </c>
      <c r="E390" s="8" t="inlineStr">
        <is>
          <t>CON.EAB.INS</t>
        </is>
      </c>
      <c r="F390" s="8" t="inlineStr">
        <is>
          <t>Construction</t>
        </is>
      </c>
      <c r="G390" s="8" t="inlineStr">
        <is>
          <t>EAB</t>
        </is>
      </c>
      <c r="H390" s="8" t="inlineStr">
        <is>
          <t>MS5</t>
        </is>
      </c>
      <c r="I390" s="16" t="n">
        <v>0.2</v>
      </c>
      <c r="J390" s="10">
        <f>Station_BOQ!R15</f>
        <v/>
      </c>
      <c r="K390" s="9">
        <f>I390*62000000*J390</f>
        <v/>
      </c>
      <c r="L390" s="18" t="n">
        <v>0.1412245970033512</v>
      </c>
      <c r="M390" s="9">
        <f>ROUND(K390*L390,0)</f>
        <v/>
      </c>
      <c r="N390" s="9" t="n">
        <v>56650</v>
      </c>
      <c r="O390" s="9">
        <f>N390-M390</f>
        <v/>
      </c>
      <c r="P390" s="8" t="inlineStr">
        <is>
          <t>MS5 Installation 20% x station price share 3.23% | Installation key 20% x (1 - civil share 29.4%)</t>
        </is>
      </c>
      <c r="Q390" s="8" t="inlineStr">
        <is>
          <t>Annex 3 equipment sections A1-A5 (installation share)</t>
        </is>
      </c>
      <c r="R390" s="9" t="n">
        <v>93</v>
      </c>
      <c r="S390" s="19">
        <f>R390/1000</f>
        <v/>
      </c>
      <c r="T390" s="20" t="n">
        <v>47044</v>
      </c>
      <c r="U390" s="20" t="n">
        <v>47055</v>
      </c>
      <c r="V390" s="8" t="n">
        <v>8</v>
      </c>
    </row>
    <row r="391">
      <c r="A391" s="8" t="inlineStr">
        <is>
          <t>A1-A5</t>
        </is>
      </c>
      <c r="B391" s="8" t="inlineStr">
        <is>
          <t>A1 to A5 equipment sections: installation share (works included in unit prices)</t>
        </is>
      </c>
      <c r="C391" s="8" t="inlineStr">
        <is>
          <t>EAB-C2020</t>
        </is>
      </c>
      <c r="D391" s="8" t="inlineStr">
        <is>
          <t>Cabling and termination (power, fibre, data) - Abqaiq</t>
        </is>
      </c>
      <c r="E391" s="8" t="inlineStr">
        <is>
          <t>CON.EAB.INS</t>
        </is>
      </c>
      <c r="F391" s="8" t="inlineStr">
        <is>
          <t>Construction</t>
        </is>
      </c>
      <c r="G391" s="8" t="inlineStr">
        <is>
          <t>EAB</t>
        </is>
      </c>
      <c r="H391" s="8" t="inlineStr">
        <is>
          <t>MS5</t>
        </is>
      </c>
      <c r="I391" s="16" t="n">
        <v>0.2</v>
      </c>
      <c r="J391" s="10">
        <f>Station_BOQ!R15</f>
        <v/>
      </c>
      <c r="K391" s="9">
        <f>I391*62000000*J391</f>
        <v/>
      </c>
      <c r="L391" s="18" t="n">
        <v>0.2118368955050269</v>
      </c>
      <c r="M391" s="9">
        <f>ROUND(K391*L391,0)</f>
        <v/>
      </c>
      <c r="N391" s="9" t="n">
        <v>84975</v>
      </c>
      <c r="O391" s="9">
        <f>N391-M391</f>
        <v/>
      </c>
      <c r="P391" s="8" t="inlineStr">
        <is>
          <t>MS5 Installation 20% x station price share 3.23% | Installation key 30% x (1 - civil share 29.4%)</t>
        </is>
      </c>
      <c r="Q391" s="8" t="inlineStr">
        <is>
          <t>Annex 3 equipment sections A1-A5 (installation share)</t>
        </is>
      </c>
      <c r="R391" s="9" t="n">
        <v>186</v>
      </c>
      <c r="S391" s="19">
        <f>R391/1000</f>
        <v/>
      </c>
      <c r="T391" s="20" t="n">
        <v>47049</v>
      </c>
      <c r="U391" s="20" t="n">
        <v>47065</v>
      </c>
      <c r="V391" s="8" t="n">
        <v>13</v>
      </c>
    </row>
    <row r="392">
      <c r="A392" s="8" t="inlineStr">
        <is>
          <t>A1-A5</t>
        </is>
      </c>
      <c r="B392" s="8" t="inlineStr">
        <is>
          <t>A1 to A5 equipment sections: installation share (works included in unit prices)</t>
        </is>
      </c>
      <c r="C392" s="8" t="inlineStr">
        <is>
          <t>EAB-C2030</t>
        </is>
      </c>
      <c r="D392" s="8" t="inlineStr">
        <is>
          <t>Install and aim CCTV cameras - Abqaiq</t>
        </is>
      </c>
      <c r="E392" s="8" t="inlineStr">
        <is>
          <t>CON.EAB.INS</t>
        </is>
      </c>
      <c r="F392" s="8" t="inlineStr">
        <is>
          <t>Construction</t>
        </is>
      </c>
      <c r="G392" s="8" t="inlineStr">
        <is>
          <t>EAB</t>
        </is>
      </c>
      <c r="H392" s="8" t="inlineStr">
        <is>
          <t>MS5</t>
        </is>
      </c>
      <c r="I392" s="16" t="n">
        <v>0.2</v>
      </c>
      <c r="J392" s="10">
        <f>Station_BOQ!R15</f>
        <v/>
      </c>
      <c r="K392" s="9">
        <f>I392*62000000*J392</f>
        <v/>
      </c>
      <c r="L392" s="18" t="n">
        <v>0.176530746254189</v>
      </c>
      <c r="M392" s="9">
        <f>ROUND(K392*L392,0)</f>
        <v/>
      </c>
      <c r="N392" s="9" t="n">
        <v>70813</v>
      </c>
      <c r="O392" s="9">
        <f>N392-M392</f>
        <v/>
      </c>
      <c r="P392" s="8" t="inlineStr">
        <is>
          <t>MS5 Installation 20% x station price share 3.23% | Installation key 25% x (1 - civil share 29.4%)</t>
        </is>
      </c>
      <c r="Q392" s="8" t="inlineStr">
        <is>
          <t>Annex 3 equipment sections A1-A5 (installation share)</t>
        </is>
      </c>
      <c r="R392" s="9" t="n">
        <v>155</v>
      </c>
      <c r="S392" s="19">
        <f>R392/1000</f>
        <v/>
      </c>
      <c r="T392" s="20" t="n">
        <v>47066</v>
      </c>
      <c r="U392" s="20" t="n">
        <v>47079</v>
      </c>
      <c r="V392" s="8" t="n">
        <v>10</v>
      </c>
    </row>
    <row r="393">
      <c r="A393" s="8" t="inlineStr">
        <is>
          <t>A1-A5</t>
        </is>
      </c>
      <c r="B393" s="8" t="inlineStr">
        <is>
          <t>A1 to A5 equipment sections: installation share (works included in unit prices)</t>
        </is>
      </c>
      <c r="C393" s="8" t="inlineStr">
        <is>
          <t>EAB-C2040</t>
        </is>
      </c>
      <c r="D393" s="8" t="inlineStr">
        <is>
          <t>Install video management, video wall and control-room equipment - Abqaiq</t>
        </is>
      </c>
      <c r="E393" s="8" t="inlineStr">
        <is>
          <t>CON.EAB.INS</t>
        </is>
      </c>
      <c r="F393" s="8" t="inlineStr">
        <is>
          <t>Construction</t>
        </is>
      </c>
      <c r="G393" s="8" t="inlineStr">
        <is>
          <t>EAB</t>
        </is>
      </c>
      <c r="H393" s="8" t="inlineStr">
        <is>
          <t>MS5</t>
        </is>
      </c>
      <c r="I393" s="16" t="n">
        <v>0.2</v>
      </c>
      <c r="J393" s="10">
        <f>Station_BOQ!R15</f>
        <v/>
      </c>
      <c r="K393" s="9">
        <f>I393*62000000*J393</f>
        <v/>
      </c>
      <c r="L393" s="18" t="n">
        <v>0.1059184477525134</v>
      </c>
      <c r="M393" s="9">
        <f>ROUND(K393*L393,0)</f>
        <v/>
      </c>
      <c r="N393" s="9" t="n">
        <v>42488</v>
      </c>
      <c r="O393" s="9">
        <f>N393-M393</f>
        <v/>
      </c>
      <c r="P393" s="8" t="inlineStr">
        <is>
          <t>MS5 Installation 20% x station price share 3.23% | Installation key 15% x (1 - civil share 29.4%)</t>
        </is>
      </c>
      <c r="Q393" s="8" t="inlineStr">
        <is>
          <t>Annex 3 equipment sections A1-A5 (installation share)</t>
        </is>
      </c>
      <c r="R393" s="9" t="n">
        <v>93</v>
      </c>
      <c r="S393" s="19">
        <f>R393/1000</f>
        <v/>
      </c>
      <c r="T393" s="20" t="n">
        <v>47056</v>
      </c>
      <c r="U393" s="20" t="n">
        <v>47066</v>
      </c>
      <c r="V393" s="8" t="n">
        <v>9</v>
      </c>
    </row>
    <row r="394">
      <c r="A394" s="8" t="inlineStr">
        <is>
          <t>A1-A5</t>
        </is>
      </c>
      <c r="B394" s="8" t="inlineStr">
        <is>
          <t>A1 to A5 equipment sections: installation share (works included in unit prices)</t>
        </is>
      </c>
      <c r="C394" s="8" t="inlineStr">
        <is>
          <t>EAB-C2050</t>
        </is>
      </c>
      <c r="D394" s="8" t="inlineStr">
        <is>
          <t>Install access control and intercom - Abqaiq</t>
        </is>
      </c>
      <c r="E394" s="8" t="inlineStr">
        <is>
          <t>CON.EAB.INS</t>
        </is>
      </c>
      <c r="F394" s="8" t="inlineStr">
        <is>
          <t>Construction</t>
        </is>
      </c>
      <c r="G394" s="8" t="inlineStr">
        <is>
          <t>EAB</t>
        </is>
      </c>
      <c r="H394" s="8" t="inlineStr">
        <is>
          <t>MS5</t>
        </is>
      </c>
      <c r="I394" s="16" t="n">
        <v>0.2</v>
      </c>
      <c r="J394" s="10">
        <f>Station_BOQ!R15</f>
        <v/>
      </c>
      <c r="K394" s="9">
        <f>I394*62000000*J394</f>
        <v/>
      </c>
      <c r="L394" s="18" t="n">
        <v>0.07061229850167562</v>
      </c>
      <c r="M394" s="9">
        <f>ROUND(K394*L394,0)</f>
        <v/>
      </c>
      <c r="N394" s="9" t="n">
        <v>28325</v>
      </c>
      <c r="O394" s="9">
        <f>N394-M394</f>
        <v/>
      </c>
      <c r="P394" s="8" t="inlineStr">
        <is>
          <t>MS5 Installation 20% x station price share 3.23% | Installation key 10% x (1 - civil share 29.4%)</t>
        </is>
      </c>
      <c r="Q394" s="8" t="inlineStr">
        <is>
          <t>Annex 3 equipment sections A1-A5 (installation share)</t>
        </is>
      </c>
      <c r="R394" s="9" t="n">
        <v>62</v>
      </c>
      <c r="S394" s="19">
        <f>R394/1000</f>
        <v/>
      </c>
      <c r="T394" s="20" t="n">
        <v>47059</v>
      </c>
      <c r="U394" s="20" t="n">
        <v>47070</v>
      </c>
      <c r="V394" s="8" t="n">
        <v>8</v>
      </c>
    </row>
    <row r="395">
      <c r="A395" s="8" t="inlineStr">
        <is>
          <t>A1-A5</t>
        </is>
      </c>
      <c r="B395" s="8" t="inlineStr">
        <is>
          <t>A1 to A5 equipment sections: testing and commissioning share</t>
        </is>
      </c>
      <c r="C395" s="8" t="inlineStr">
        <is>
          <t>EAB-T1010</t>
        </is>
      </c>
      <c r="D395" s="8" t="inlineStr">
        <is>
          <t>Pre-commissioning and loop checks - Abqaiq</t>
        </is>
      </c>
      <c r="E395" s="8" t="inlineStr">
        <is>
          <t>COM.EAB.TST</t>
        </is>
      </c>
      <c r="F395" s="8" t="inlineStr">
        <is>
          <t>Commissioning and handover</t>
        </is>
      </c>
      <c r="G395" s="8" t="inlineStr">
        <is>
          <t>EAB</t>
        </is>
      </c>
      <c r="H395" s="8" t="inlineStr">
        <is>
          <t>MS6</t>
        </is>
      </c>
      <c r="I395" s="16" t="n">
        <v>0.1</v>
      </c>
      <c r="J395" s="10">
        <f>Station_BOQ!R15</f>
        <v/>
      </c>
      <c r="K395" s="9">
        <f>I395*62000000*J395</f>
        <v/>
      </c>
      <c r="L395" s="18" t="n">
        <v>0.4</v>
      </c>
      <c r="M395" s="9">
        <f>ROUND(K395*L395,0)</f>
        <v/>
      </c>
      <c r="N395" s="9" t="n">
        <v>80227</v>
      </c>
      <c r="O395" s="9">
        <f>N395-M395</f>
        <v/>
      </c>
      <c r="P395" s="8" t="inlineStr">
        <is>
          <t>MS6 Testing and commissioning (SAT) 10% x station price share 3.23% | Fixed key 40% of SAT milestone</t>
        </is>
      </c>
      <c r="Q395" s="8" t="inlineStr">
        <is>
          <t>Annex 3 equipment sections A1-A5 (testing share)</t>
        </is>
      </c>
      <c r="R395" s="9" t="n">
        <v>93</v>
      </c>
      <c r="S395" s="19">
        <f>R395/1000</f>
        <v/>
      </c>
      <c r="T395" s="20" t="n">
        <v>47080</v>
      </c>
      <c r="U395" s="20" t="n">
        <v>47085</v>
      </c>
      <c r="V395" s="8" t="n">
        <v>4</v>
      </c>
    </row>
    <row r="396">
      <c r="A396" s="8" t="inlineStr">
        <is>
          <t>A1-A5</t>
        </is>
      </c>
      <c r="B396" s="8" t="inlineStr">
        <is>
          <t>A1 to A5 equipment sections: testing and commissioning share</t>
        </is>
      </c>
      <c r="C396" s="8" t="inlineStr">
        <is>
          <t>EAB-T1020</t>
        </is>
      </c>
      <c r="D396" s="8" t="inlineStr">
        <is>
          <t>Site acceptance test (SAT) and commissioning - Abqaiq</t>
        </is>
      </c>
      <c r="E396" s="8" t="inlineStr">
        <is>
          <t>COM.EAB.TST</t>
        </is>
      </c>
      <c r="F396" s="8" t="inlineStr">
        <is>
          <t>Commissioning and handover</t>
        </is>
      </c>
      <c r="G396" s="8" t="inlineStr">
        <is>
          <t>EAB</t>
        </is>
      </c>
      <c r="H396" s="8" t="inlineStr">
        <is>
          <t>MS6</t>
        </is>
      </c>
      <c r="I396" s="16" t="n">
        <v>0.1</v>
      </c>
      <c r="J396" s="10">
        <f>Station_BOQ!R15</f>
        <v/>
      </c>
      <c r="K396" s="9">
        <f>I396*62000000*J396</f>
        <v/>
      </c>
      <c r="L396" s="18" t="n">
        <v>0.6</v>
      </c>
      <c r="M396" s="9">
        <f>ROUND(K396*L396,0)</f>
        <v/>
      </c>
      <c r="N396" s="9" t="n">
        <v>120341</v>
      </c>
      <c r="O396" s="9">
        <f>N396-M396</f>
        <v/>
      </c>
      <c r="P396" s="8" t="inlineStr">
        <is>
          <t>MS6 Testing and commissioning (SAT) 10% x station price share 3.23% | Fixed key 60% of SAT milestone</t>
        </is>
      </c>
      <c r="Q396" s="8" t="inlineStr">
        <is>
          <t>Annex 3 equipment sections A1-A5 (testing share)</t>
        </is>
      </c>
      <c r="R396" s="9" t="n">
        <v>124</v>
      </c>
      <c r="S396" s="19">
        <f>R396/1000</f>
        <v/>
      </c>
      <c r="T396" s="20" t="n">
        <v>47086</v>
      </c>
      <c r="U396" s="20" t="n">
        <v>47094</v>
      </c>
      <c r="V396" s="8" t="n">
        <v>7</v>
      </c>
    </row>
    <row r="397">
      <c r="A397" s="8" t="inlineStr">
        <is>
          <t>SH-TRN</t>
        </is>
      </c>
      <c r="B397" s="8" t="inlineStr">
        <is>
          <t>Training (per railway, allocated)</t>
        </is>
      </c>
      <c r="C397" s="8" t="inlineStr">
        <is>
          <t>EAB-T2010</t>
        </is>
      </c>
      <c r="D397" s="8" t="inlineStr">
        <is>
          <t>Operator and maintenance training - Abqaiq</t>
        </is>
      </c>
      <c r="E397" s="8" t="inlineStr">
        <is>
          <t>COM.EAB.TRN</t>
        </is>
      </c>
      <c r="F397" s="8" t="inlineStr">
        <is>
          <t>Commissioning and handover</t>
        </is>
      </c>
      <c r="G397" s="8" t="inlineStr">
        <is>
          <t>EAB</t>
        </is>
      </c>
      <c r="H397" s="8" t="inlineStr">
        <is>
          <t>MS7</t>
        </is>
      </c>
      <c r="I397" s="16" t="n">
        <v>0.1</v>
      </c>
      <c r="J397" s="10">
        <f>Station_BOQ!R15</f>
        <v/>
      </c>
      <c r="K397" s="9">
        <f>I397*62000000*J397</f>
        <v/>
      </c>
      <c r="L397" s="18" t="n">
        <v>0.15</v>
      </c>
      <c r="M397" s="9">
        <f>ROUND(K397*L397,0)</f>
        <v/>
      </c>
      <c r="N397" s="9" t="n">
        <v>30085</v>
      </c>
      <c r="O397" s="9">
        <f>N397-M397</f>
        <v/>
      </c>
      <c r="P397" s="8" t="inlineStr">
        <is>
          <t>MS7 Final acceptance and handover 10% x station price share 3.23% | Fixed key 15%</t>
        </is>
      </c>
      <c r="Q397" s="8" t="inlineStr">
        <is>
          <t>Annex 3 Training (railway), allocated by hardware share</t>
        </is>
      </c>
      <c r="R397" s="9" t="n">
        <v>62</v>
      </c>
      <c r="S397" s="19">
        <f>R397/1000</f>
        <v/>
      </c>
      <c r="T397" s="20" t="n">
        <v>47097</v>
      </c>
      <c r="U397" s="20" t="n">
        <v>47108</v>
      </c>
      <c r="V397" s="8" t="n">
        <v>10</v>
      </c>
    </row>
    <row r="398">
      <c r="A398" s="8" t="inlineStr">
        <is>
          <t>A1-A5</t>
        </is>
      </c>
      <c r="B398" s="8" t="inlineStr">
        <is>
          <t>A1 to A5 equipment sections: trial operation share</t>
        </is>
      </c>
      <c r="C398" s="8" t="inlineStr">
        <is>
          <t>EAB-T2020</t>
        </is>
      </c>
      <c r="D398" s="8" t="inlineStr">
        <is>
          <t>Trial operation (maximum 45 days) - Abqaiq</t>
        </is>
      </c>
      <c r="E398" s="8" t="inlineStr">
        <is>
          <t>COM.EAB.TOA</t>
        </is>
      </c>
      <c r="F398" s="8" t="inlineStr">
        <is>
          <t>Commissioning and handover</t>
        </is>
      </c>
      <c r="G398" s="8" t="inlineStr">
        <is>
          <t>EAB</t>
        </is>
      </c>
      <c r="H398" s="8" t="inlineStr">
        <is>
          <t>MS7</t>
        </is>
      </c>
      <c r="I398" s="16" t="n">
        <v>0.1</v>
      </c>
      <c r="J398" s="10">
        <f>Station_BOQ!R15</f>
        <v/>
      </c>
      <c r="K398" s="9">
        <f>I398*62000000*J398</f>
        <v/>
      </c>
      <c r="L398" s="18" t="n">
        <v>0.35</v>
      </c>
      <c r="M398" s="9">
        <f>ROUND(K398*L398,0)</f>
        <v/>
      </c>
      <c r="N398" s="9" t="n">
        <v>70199</v>
      </c>
      <c r="O398" s="9">
        <f>N398-M398</f>
        <v/>
      </c>
      <c r="P398" s="8" t="inlineStr">
        <is>
          <t>MS7 Final acceptance and handover 10% x station price share 3.23% | Fixed key 35%</t>
        </is>
      </c>
      <c r="Q398" s="8" t="inlineStr">
        <is>
          <t>Annex 3 equipment sections A1-A5 (trial operation share)</t>
        </is>
      </c>
      <c r="R398" s="9" t="n">
        <v>93</v>
      </c>
      <c r="S398" s="19">
        <f>R398/1000</f>
        <v/>
      </c>
      <c r="T398" s="20" t="n">
        <v>47097</v>
      </c>
      <c r="U398" s="20" t="n">
        <v>47136</v>
      </c>
      <c r="V398" s="8" t="n">
        <v>30</v>
      </c>
    </row>
    <row r="399">
      <c r="A399" s="8" t="inlineStr">
        <is>
          <t>A1-A5</t>
        </is>
      </c>
      <c r="B399" s="8" t="inlineStr">
        <is>
          <t>A1 to A5 equipment sections: handover share</t>
        </is>
      </c>
      <c r="C399" s="8" t="inlineStr">
        <is>
          <t>EAB-T3010</t>
        </is>
      </c>
      <c r="D399" s="8" t="inlineStr">
        <is>
          <t>Taking-over application, SAR review and handover - Abqaiq</t>
        </is>
      </c>
      <c r="E399" s="8" t="inlineStr">
        <is>
          <t>COM.EAB.TOA</t>
        </is>
      </c>
      <c r="F399" s="8" t="inlineStr">
        <is>
          <t>Commissioning and handover</t>
        </is>
      </c>
      <c r="G399" s="8" t="inlineStr">
        <is>
          <t>EAB</t>
        </is>
      </c>
      <c r="H399" s="8" t="inlineStr">
        <is>
          <t>MS7</t>
        </is>
      </c>
      <c r="I399" s="16" t="n">
        <v>0.1</v>
      </c>
      <c r="J399" s="10">
        <f>Station_BOQ!R15</f>
        <v/>
      </c>
      <c r="K399" s="9">
        <f>I399*62000000*J399</f>
        <v/>
      </c>
      <c r="L399" s="18" t="n">
        <v>0.3</v>
      </c>
      <c r="M399" s="9">
        <f>ROUND(K399*L399,0)</f>
        <v/>
      </c>
      <c r="N399" s="9" t="n">
        <v>60170</v>
      </c>
      <c r="O399" s="9">
        <f>N399-M399</f>
        <v/>
      </c>
      <c r="P399" s="8" t="inlineStr">
        <is>
          <t>MS7 Final acceptance and handover 10% x station price share 3.23% | Fixed key 30%</t>
        </is>
      </c>
      <c r="Q399" s="8" t="inlineStr">
        <is>
          <t>Annex 3 equipment sections A1-A5 (handover share)</t>
        </is>
      </c>
      <c r="R399" s="9" t="n">
        <v>93</v>
      </c>
      <c r="S399" s="19">
        <f>R399/1000</f>
        <v/>
      </c>
      <c r="T399" s="20" t="n">
        <v>47139</v>
      </c>
      <c r="U399" s="20" t="n">
        <v>47176</v>
      </c>
      <c r="V399" s="8" t="n">
        <v>22</v>
      </c>
    </row>
    <row r="400">
      <c r="A400" s="8" t="inlineStr">
        <is>
          <t>SH-DES</t>
        </is>
      </c>
      <c r="B400" s="8" t="inlineStr">
        <is>
          <t>Design and engineering package (per railway, allocated to the station)</t>
        </is>
      </c>
      <c r="C400" s="8" t="inlineStr">
        <is>
          <t>NHL-E1010</t>
        </is>
      </c>
      <c r="D400" s="8" t="inlineStr">
        <is>
          <t>Survey: submittal of site survey and as-found report - Hail</t>
        </is>
      </c>
      <c r="E400" s="8" t="inlineStr">
        <is>
          <t>ENG.NHL.SRV.SUB</t>
        </is>
      </c>
      <c r="F400" s="8" t="inlineStr">
        <is>
          <t>Engineering</t>
        </is>
      </c>
      <c r="G400" s="8" t="inlineStr">
        <is>
          <t>NHL</t>
        </is>
      </c>
      <c r="H400" s="8" t="inlineStr">
        <is>
          <t>MS2</t>
        </is>
      </c>
      <c r="I400" s="16" t="n">
        <v>0.1</v>
      </c>
      <c r="J400" s="10">
        <f>Station_BOQ!R16</f>
        <v/>
      </c>
      <c r="K400" s="9">
        <f>I400*62000000*J400</f>
        <v/>
      </c>
      <c r="L400" s="18" t="n">
        <v>0.06900000000000001</v>
      </c>
      <c r="M400" s="9">
        <f>ROUND(K400*L400,0)</f>
        <v/>
      </c>
      <c r="N400" s="9" t="n">
        <v>23453</v>
      </c>
      <c r="O400" s="9">
        <f>N400-M400</f>
        <v/>
      </c>
      <c r="P400" s="8" t="inlineStr">
        <is>
          <t>MS2 Engineering submittal 10% x station price share 5.48% | Design stage key 6.9% of the engineering-submittal milestone</t>
        </is>
      </c>
      <c r="Q400" s="8" t="inlineStr">
        <is>
          <t>Annex 3 Design and engineering package (railway) allocated by station hardware share</t>
        </is>
      </c>
      <c r="R400" s="9" t="n">
        <v>30</v>
      </c>
      <c r="S400" s="19">
        <f>R400/1000</f>
        <v/>
      </c>
      <c r="T400" s="20" t="n">
        <v>46845</v>
      </c>
      <c r="U400" s="20" t="n">
        <v>46854</v>
      </c>
      <c r="V400" s="8" t="n">
        <v>8</v>
      </c>
    </row>
    <row r="401">
      <c r="A401" s="8" t="inlineStr">
        <is>
          <t>SH-DES</t>
        </is>
      </c>
      <c r="B401" s="8" t="inlineStr">
        <is>
          <t>Design and engineering package (per railway, allocated to the station)</t>
        </is>
      </c>
      <c r="C401" s="8" t="inlineStr">
        <is>
          <t>NHL-E1020</t>
        </is>
      </c>
      <c r="D401" s="8" t="inlineStr">
        <is>
          <t>Survey: SAR approval of survey report - Hail</t>
        </is>
      </c>
      <c r="E401" s="8" t="inlineStr">
        <is>
          <t>ENG.NHL.SRV.APR</t>
        </is>
      </c>
      <c r="F401" s="8" t="inlineStr">
        <is>
          <t>Engineering</t>
        </is>
      </c>
      <c r="G401" s="8" t="inlineStr">
        <is>
          <t>NHL</t>
        </is>
      </c>
      <c r="H401" s="8" t="inlineStr">
        <is>
          <t>MS3</t>
        </is>
      </c>
      <c r="I401" s="16" t="n">
        <v>0.1</v>
      </c>
      <c r="J401" s="10">
        <f>Station_BOQ!R16</f>
        <v/>
      </c>
      <c r="K401" s="9">
        <f>I401*62000000*J401</f>
        <v/>
      </c>
      <c r="L401" s="18" t="n">
        <v>0.05</v>
      </c>
      <c r="M401" s="9">
        <f>ROUND(K401*L401,0)</f>
        <v/>
      </c>
      <c r="N401" s="9" t="n">
        <v>16995</v>
      </c>
      <c r="O401" s="9">
        <f>N401-M401</f>
        <v/>
      </c>
      <c r="P401" s="8" t="inlineStr">
        <is>
          <t>MS3 SAR approval of engineering 10% x station price share 5.48% | Design stage key 5.0% of the SAR-approval milestone</t>
        </is>
      </c>
      <c r="Q401" s="8" t="inlineStr">
        <is>
          <t>Annex 3 Design and engineering package (railway) allocated by station hardware share</t>
        </is>
      </c>
      <c r="R401" s="9" t="n">
        <v>32</v>
      </c>
      <c r="S401" s="19">
        <f>R401/1000</f>
        <v/>
      </c>
      <c r="T401" s="20" t="n">
        <v>46855</v>
      </c>
      <c r="U401" s="20" t="n">
        <v>46882</v>
      </c>
      <c r="V401" s="8" t="n">
        <v>15</v>
      </c>
    </row>
    <row r="402">
      <c r="A402" s="8" t="inlineStr">
        <is>
          <t>SH-DES</t>
        </is>
      </c>
      <c r="B402" s="8" t="inlineStr">
        <is>
          <t>Design and engineering package (per railway, allocated to the station)</t>
        </is>
      </c>
      <c r="C402" s="8" t="inlineStr">
        <is>
          <t>NHL-E1030</t>
        </is>
      </c>
      <c r="D402" s="8" t="inlineStr">
        <is>
          <t>Concept design: submittal - Hail</t>
        </is>
      </c>
      <c r="E402" s="8" t="inlineStr">
        <is>
          <t>ENG.NHL.CNC.SUB</t>
        </is>
      </c>
      <c r="F402" s="8" t="inlineStr">
        <is>
          <t>Engineering</t>
        </is>
      </c>
      <c r="G402" s="8" t="inlineStr">
        <is>
          <t>NHL</t>
        </is>
      </c>
      <c r="H402" s="8" t="inlineStr">
        <is>
          <t>MS2</t>
        </is>
      </c>
      <c r="I402" s="16" t="n">
        <v>0.1</v>
      </c>
      <c r="J402" s="10">
        <f>Station_BOQ!R16</f>
        <v/>
      </c>
      <c r="K402" s="9">
        <f>I402*62000000*J402</f>
        <v/>
      </c>
      <c r="L402" s="18" t="n">
        <v>0.098</v>
      </c>
      <c r="M402" s="9">
        <f>ROUND(K402*L402,0)</f>
        <v/>
      </c>
      <c r="N402" s="9" t="n">
        <v>33309</v>
      </c>
      <c r="O402" s="9">
        <f>N402-M402</f>
        <v/>
      </c>
      <c r="P402" s="8" t="inlineStr">
        <is>
          <t>MS2 Engineering submittal 10% x station price share 5.48% | Design stage key 9.8% of the engineering-submittal milestone</t>
        </is>
      </c>
      <c r="Q402" s="8" t="inlineStr">
        <is>
          <t>Annex 3 Design and engineering package (railway) allocated by station hardware share</t>
        </is>
      </c>
      <c r="R402" s="9" t="n">
        <v>23</v>
      </c>
      <c r="S402" s="19">
        <f>R402/1000</f>
        <v/>
      </c>
      <c r="T402" s="20" t="n">
        <v>46855</v>
      </c>
      <c r="U402" s="20" t="n">
        <v>46867</v>
      </c>
      <c r="V402" s="8" t="n">
        <v>9</v>
      </c>
    </row>
    <row r="403">
      <c r="A403" s="8" t="inlineStr">
        <is>
          <t>SH-DES</t>
        </is>
      </c>
      <c r="B403" s="8" t="inlineStr">
        <is>
          <t>Design and engineering package (per railway, allocated to the station)</t>
        </is>
      </c>
      <c r="C403" s="8" t="inlineStr">
        <is>
          <t>NHL-E1040</t>
        </is>
      </c>
      <c r="D403" s="8" t="inlineStr">
        <is>
          <t>Concept design: SAR review and approval - Hail</t>
        </is>
      </c>
      <c r="E403" s="8" t="inlineStr">
        <is>
          <t>ENG.NHL.CNC.APR</t>
        </is>
      </c>
      <c r="F403" s="8" t="inlineStr">
        <is>
          <t>Engineering</t>
        </is>
      </c>
      <c r="G403" s="8" t="inlineStr">
        <is>
          <t>NHL</t>
        </is>
      </c>
      <c r="H403" s="8" t="inlineStr">
        <is>
          <t>MS3</t>
        </is>
      </c>
      <c r="I403" s="16" t="n">
        <v>0.1</v>
      </c>
      <c r="J403" s="10">
        <f>Station_BOQ!R16</f>
        <v/>
      </c>
      <c r="K403" s="9">
        <f>I403*62000000*J403</f>
        <v/>
      </c>
      <c r="L403" s="18" t="n">
        <v>0.1</v>
      </c>
      <c r="M403" s="9">
        <f>ROUND(K403*L403,0)</f>
        <v/>
      </c>
      <c r="N403" s="9" t="n">
        <v>33989</v>
      </c>
      <c r="O403" s="9">
        <f>N403-M403</f>
        <v/>
      </c>
      <c r="P403" s="8" t="inlineStr">
        <is>
          <t>MS3 SAR approval of engineering 10% x station price share 5.48% | Design stage key 10.0% of the SAR-approval milestone</t>
        </is>
      </c>
      <c r="Q403" s="8" t="inlineStr">
        <is>
          <t>Annex 3 Design and engineering package (railway) allocated by station hardware share</t>
        </is>
      </c>
      <c r="R403" s="9" t="n">
        <v>39</v>
      </c>
      <c r="S403" s="19">
        <f>R403/1000</f>
        <v/>
      </c>
      <c r="T403" s="20" t="n">
        <v>46868</v>
      </c>
      <c r="U403" s="20" t="n">
        <v>46895</v>
      </c>
      <c r="V403" s="8" t="n">
        <v>15</v>
      </c>
    </row>
    <row r="404">
      <c r="A404" s="8" t="inlineStr">
        <is>
          <t>SH-DES</t>
        </is>
      </c>
      <c r="B404" s="8" t="inlineStr">
        <is>
          <t>Design and engineering package (per railway, allocated to the station)</t>
        </is>
      </c>
      <c r="C404" s="8" t="inlineStr">
        <is>
          <t>NHL-E1050</t>
        </is>
      </c>
      <c r="D404" s="8" t="inlineStr">
        <is>
          <t>Preliminary design: submittal - Hail</t>
        </is>
      </c>
      <c r="E404" s="8" t="inlineStr">
        <is>
          <t>ENG.NHL.PRE.SUB</t>
        </is>
      </c>
      <c r="F404" s="8" t="inlineStr">
        <is>
          <t>Engineering</t>
        </is>
      </c>
      <c r="G404" s="8" t="inlineStr">
        <is>
          <t>NHL</t>
        </is>
      </c>
      <c r="H404" s="8" t="inlineStr">
        <is>
          <t>MS2</t>
        </is>
      </c>
      <c r="I404" s="16" t="n">
        <v>0.1</v>
      </c>
      <c r="J404" s="10">
        <f>Station_BOQ!R16</f>
        <v/>
      </c>
      <c r="K404" s="9">
        <f>I404*62000000*J404</f>
        <v/>
      </c>
      <c r="L404" s="18" t="n">
        <v>0.196</v>
      </c>
      <c r="M404" s="9">
        <f>ROUND(K404*L404,0)</f>
        <v/>
      </c>
      <c r="N404" s="9" t="n">
        <v>66619</v>
      </c>
      <c r="O404" s="9">
        <f>N404-M404</f>
        <v/>
      </c>
      <c r="P404" s="8" t="inlineStr">
        <is>
          <t>MS2 Engineering submittal 10% x station price share 5.48% | Design stage key 19.6% of the engineering-submittal milestone</t>
        </is>
      </c>
      <c r="Q404" s="8" t="inlineStr">
        <is>
          <t>Annex 3 Design and engineering package (railway) allocated by station hardware share</t>
        </is>
      </c>
      <c r="R404" s="9" t="n">
        <v>56</v>
      </c>
      <c r="S404" s="19">
        <f>R404/1000</f>
        <v/>
      </c>
      <c r="T404" s="20" t="n">
        <v>46868</v>
      </c>
      <c r="U404" s="20" t="n">
        <v>46895</v>
      </c>
      <c r="V404" s="8" t="n">
        <v>15</v>
      </c>
    </row>
    <row r="405">
      <c r="A405" s="8" t="inlineStr">
        <is>
          <t>SH-DES</t>
        </is>
      </c>
      <c r="B405" s="8" t="inlineStr">
        <is>
          <t>Design and engineering package (per railway, allocated to the station)</t>
        </is>
      </c>
      <c r="C405" s="8" t="inlineStr">
        <is>
          <t>NHL-E1060</t>
        </is>
      </c>
      <c r="D405" s="8" t="inlineStr">
        <is>
          <t>Preliminary design: SAR review and approval - Hail</t>
        </is>
      </c>
      <c r="E405" s="8" t="inlineStr">
        <is>
          <t>ENG.NHL.PRE.APR</t>
        </is>
      </c>
      <c r="F405" s="8" t="inlineStr">
        <is>
          <t>Engineering</t>
        </is>
      </c>
      <c r="G405" s="8" t="inlineStr">
        <is>
          <t>NHL</t>
        </is>
      </c>
      <c r="H405" s="8" t="inlineStr">
        <is>
          <t>MS3</t>
        </is>
      </c>
      <c r="I405" s="16" t="n">
        <v>0.1</v>
      </c>
      <c r="J405" s="10">
        <f>Station_BOQ!R16</f>
        <v/>
      </c>
      <c r="K405" s="9">
        <f>I405*62000000*J405</f>
        <v/>
      </c>
      <c r="L405" s="18" t="n">
        <v>0.2</v>
      </c>
      <c r="M405" s="9">
        <f>ROUND(K405*L405,0)</f>
        <v/>
      </c>
      <c r="N405" s="9" t="n">
        <v>67978</v>
      </c>
      <c r="O405" s="9">
        <f>N405-M405</f>
        <v/>
      </c>
      <c r="P405" s="8" t="inlineStr">
        <is>
          <t>MS3 SAR approval of engineering 10% x station price share 5.48% | Design stage key 20.0% of the SAR-approval milestone</t>
        </is>
      </c>
      <c r="Q405" s="8" t="inlineStr">
        <is>
          <t>Annex 3 Design and engineering package (railway) allocated by station hardware share</t>
        </is>
      </c>
      <c r="R405" s="9" t="n">
        <v>56</v>
      </c>
      <c r="S405" s="19">
        <f>R405/1000</f>
        <v/>
      </c>
      <c r="T405" s="20" t="n">
        <v>46896</v>
      </c>
      <c r="U405" s="20" t="n">
        <v>46916</v>
      </c>
      <c r="V405" s="8" t="n">
        <v>15</v>
      </c>
    </row>
    <row r="406">
      <c r="A406" s="8" t="inlineStr">
        <is>
          <t>SH-DES</t>
        </is>
      </c>
      <c r="B406" s="8" t="inlineStr">
        <is>
          <t>Design and engineering package (per railway, allocated to the station)</t>
        </is>
      </c>
      <c r="C406" s="8" t="inlineStr">
        <is>
          <t>NHL-E1070</t>
        </is>
      </c>
      <c r="D406" s="8" t="inlineStr">
        <is>
          <t>Detailed design: submittal (drawings, BOQ, data sheets) - Hail</t>
        </is>
      </c>
      <c r="E406" s="8" t="inlineStr">
        <is>
          <t>ENG.NHL.DET.SUB</t>
        </is>
      </c>
      <c r="F406" s="8" t="inlineStr">
        <is>
          <t>Engineering</t>
        </is>
      </c>
      <c r="G406" s="8" t="inlineStr">
        <is>
          <t>NHL</t>
        </is>
      </c>
      <c r="H406" s="8" t="inlineStr">
        <is>
          <t>MS2</t>
        </is>
      </c>
      <c r="I406" s="16" t="n">
        <v>0.1</v>
      </c>
      <c r="J406" s="10">
        <f>Station_BOQ!R16</f>
        <v/>
      </c>
      <c r="K406" s="9">
        <f>I406*62000000*J406</f>
        <v/>
      </c>
      <c r="L406" s="18" t="n">
        <v>0.392</v>
      </c>
      <c r="M406" s="9">
        <f>ROUND(K406*L406,0)</f>
        <v/>
      </c>
      <c r="N406" s="9" t="n">
        <v>133238</v>
      </c>
      <c r="O406" s="9">
        <f>N406-M406</f>
        <v/>
      </c>
      <c r="P406" s="8" t="inlineStr">
        <is>
          <t>MS2 Engineering submittal 10% x station price share 5.48% | Design stage key 39.2% of the engineering-submittal milestone</t>
        </is>
      </c>
      <c r="Q406" s="8" t="inlineStr">
        <is>
          <t>Annex 3 Design and engineering package (railway) allocated by station hardware share</t>
        </is>
      </c>
      <c r="R406" s="9" t="n">
        <v>114</v>
      </c>
      <c r="S406" s="19">
        <f>R406/1000</f>
        <v/>
      </c>
      <c r="T406" s="20" t="n">
        <v>46896</v>
      </c>
      <c r="U406" s="20" t="n">
        <v>46929</v>
      </c>
      <c r="V406" s="8" t="n">
        <v>24</v>
      </c>
    </row>
    <row r="407">
      <c r="A407" s="8" t="inlineStr">
        <is>
          <t>SH-DES</t>
        </is>
      </c>
      <c r="B407" s="8" t="inlineStr">
        <is>
          <t>Design and engineering package (per railway, allocated to the station)</t>
        </is>
      </c>
      <c r="C407" s="8" t="inlineStr">
        <is>
          <t>NHL-E1080</t>
        </is>
      </c>
      <c r="D407" s="8" t="inlineStr">
        <is>
          <t>Detailed design: SAR review and approval - Hail</t>
        </is>
      </c>
      <c r="E407" s="8" t="inlineStr">
        <is>
          <t>ENG.NHL.DET.APR</t>
        </is>
      </c>
      <c r="F407" s="8" t="inlineStr">
        <is>
          <t>Engineering</t>
        </is>
      </c>
      <c r="G407" s="8" t="inlineStr">
        <is>
          <t>NHL</t>
        </is>
      </c>
      <c r="H407" s="8" t="inlineStr">
        <is>
          <t>MS3</t>
        </is>
      </c>
      <c r="I407" s="16" t="n">
        <v>0.1</v>
      </c>
      <c r="J407" s="10">
        <f>Station_BOQ!R16</f>
        <v/>
      </c>
      <c r="K407" s="9">
        <f>I407*62000000*J407</f>
        <v/>
      </c>
      <c r="L407" s="18" t="n">
        <v>0.4</v>
      </c>
      <c r="M407" s="9">
        <f>ROUND(K407*L407,0)</f>
        <v/>
      </c>
      <c r="N407" s="9" t="n">
        <v>135957</v>
      </c>
      <c r="O407" s="9">
        <f>N407-M407</f>
        <v/>
      </c>
      <c r="P407" s="8" t="inlineStr">
        <is>
          <t>MS3 SAR approval of engineering 10% x station price share 5.48% | Design stage key 40.0% of the SAR-approval milestone</t>
        </is>
      </c>
      <c r="Q407" s="8" t="inlineStr">
        <is>
          <t>Annex 3 Design and engineering package (railway) allocated by station hardware share</t>
        </is>
      </c>
      <c r="R407" s="9" t="n">
        <v>71</v>
      </c>
      <c r="S407" s="19">
        <f>R407/1000</f>
        <v/>
      </c>
      <c r="T407" s="20" t="n">
        <v>46930</v>
      </c>
      <c r="U407" s="20" t="n">
        <v>46950</v>
      </c>
      <c r="V407" s="8" t="n">
        <v>15</v>
      </c>
    </row>
    <row r="408">
      <c r="A408" s="8" t="inlineStr">
        <is>
          <t>SH-DES</t>
        </is>
      </c>
      <c r="B408" s="8" t="inlineStr">
        <is>
          <t>Design and engineering package (per railway, allocated to the station)</t>
        </is>
      </c>
      <c r="C408" s="8" t="inlineStr">
        <is>
          <t>NHL-E1090</t>
        </is>
      </c>
      <c r="D408" s="8" t="inlineStr">
        <is>
          <t>IFC and shop drawings: submittal - Hail</t>
        </is>
      </c>
      <c r="E408" s="8" t="inlineStr">
        <is>
          <t>ENG.NHL.IFC.SUB</t>
        </is>
      </c>
      <c r="F408" s="8" t="inlineStr">
        <is>
          <t>Engineering</t>
        </is>
      </c>
      <c r="G408" s="8" t="inlineStr">
        <is>
          <t>NHL</t>
        </is>
      </c>
      <c r="H408" s="8" t="inlineStr">
        <is>
          <t>MS2</t>
        </is>
      </c>
      <c r="I408" s="16" t="n">
        <v>0.1</v>
      </c>
      <c r="J408" s="10">
        <f>Station_BOQ!R16</f>
        <v/>
      </c>
      <c r="K408" s="9">
        <f>I408*62000000*J408</f>
        <v/>
      </c>
      <c r="L408" s="18" t="n">
        <v>0.196</v>
      </c>
      <c r="M408" s="9">
        <f>ROUND(K408*L408,0)</f>
        <v/>
      </c>
      <c r="N408" s="9" t="n">
        <v>66619</v>
      </c>
      <c r="O408" s="9">
        <f>N408-M408</f>
        <v/>
      </c>
      <c r="P408" s="8" t="inlineStr">
        <is>
          <t>MS2 Engineering submittal 10% x station price share 5.48% | Design stage key 19.6% of the engineering-submittal milestone</t>
        </is>
      </c>
      <c r="Q408" s="8" t="inlineStr">
        <is>
          <t>Annex 3 Design and engineering package (railway) allocated by station hardware share</t>
        </is>
      </c>
      <c r="R408" s="9" t="n">
        <v>50</v>
      </c>
      <c r="S408" s="19">
        <f>R408/1000</f>
        <v/>
      </c>
      <c r="T408" s="20" t="n">
        <v>46930</v>
      </c>
      <c r="U408" s="20" t="n">
        <v>46945</v>
      </c>
      <c r="V408" s="8" t="n">
        <v>12</v>
      </c>
    </row>
    <row r="409">
      <c r="A409" s="8" t="inlineStr">
        <is>
          <t>SH-DES</t>
        </is>
      </c>
      <c r="B409" s="8" t="inlineStr">
        <is>
          <t>Design and engineering package (per railway, allocated to the station)</t>
        </is>
      </c>
      <c r="C409" s="8" t="inlineStr">
        <is>
          <t>NHL-E1100</t>
        </is>
      </c>
      <c r="D409" s="8" t="inlineStr">
        <is>
          <t>IFC and shop drawings: SAR approval and release - Hail</t>
        </is>
      </c>
      <c r="E409" s="8" t="inlineStr">
        <is>
          <t>ENG.NHL.IFC.APR</t>
        </is>
      </c>
      <c r="F409" s="8" t="inlineStr">
        <is>
          <t>Engineering</t>
        </is>
      </c>
      <c r="G409" s="8" t="inlineStr">
        <is>
          <t>NHL</t>
        </is>
      </c>
      <c r="H409" s="8" t="inlineStr">
        <is>
          <t>MS3</t>
        </is>
      </c>
      <c r="I409" s="16" t="n">
        <v>0.1</v>
      </c>
      <c r="J409" s="10">
        <f>Station_BOQ!R16</f>
        <v/>
      </c>
      <c r="K409" s="9">
        <f>I409*62000000*J409</f>
        <v/>
      </c>
      <c r="L409" s="18" t="n">
        <v>0.2</v>
      </c>
      <c r="M409" s="9">
        <f>ROUND(K409*L409,0)</f>
        <v/>
      </c>
      <c r="N409" s="9" t="n">
        <v>67978</v>
      </c>
      <c r="O409" s="9">
        <f>N409-M409</f>
        <v/>
      </c>
      <c r="P409" s="8" t="inlineStr">
        <is>
          <t>MS3 SAR approval of engineering 10% x station price share 5.48% | Design stage key 20.0% of the SAR-approval milestone</t>
        </is>
      </c>
      <c r="Q409" s="8" t="inlineStr">
        <is>
          <t>Annex 3 Design and engineering package (railway) allocated by station hardware share</t>
        </is>
      </c>
      <c r="R409" s="9" t="n">
        <v>62</v>
      </c>
      <c r="S409" s="19">
        <f>R409/1000</f>
        <v/>
      </c>
      <c r="T409" s="20" t="n">
        <v>46946</v>
      </c>
      <c r="U409" s="20" t="n">
        <v>46966</v>
      </c>
      <c r="V409" s="8" t="n">
        <v>15</v>
      </c>
    </row>
    <row r="410">
      <c r="A410" s="8" t="inlineStr">
        <is>
          <t>SH-DES</t>
        </is>
      </c>
      <c r="B410" s="8" t="inlineStr">
        <is>
          <t>Design and engineering package (per railway, allocated to the station)</t>
        </is>
      </c>
      <c r="C410" s="8" t="inlineStr">
        <is>
          <t>NHL-E1110</t>
        </is>
      </c>
      <c r="D410" s="8" t="inlineStr">
        <is>
          <t>HCIS Stage 3 and 4 documents: preparation - Hail</t>
        </is>
      </c>
      <c r="E410" s="8" t="inlineStr">
        <is>
          <t>ENG.NHL.HCS.SUB</t>
        </is>
      </c>
      <c r="F410" s="8" t="inlineStr">
        <is>
          <t>Engineering</t>
        </is>
      </c>
      <c r="G410" s="8" t="inlineStr">
        <is>
          <t>NHL</t>
        </is>
      </c>
      <c r="H410" s="8" t="inlineStr">
        <is>
          <t>MS2</t>
        </is>
      </c>
      <c r="I410" s="16" t="n">
        <v>0.1</v>
      </c>
      <c r="J410" s="10">
        <f>Station_BOQ!R16</f>
        <v/>
      </c>
      <c r="K410" s="9">
        <f>I410*62000000*J410</f>
        <v/>
      </c>
      <c r="L410" s="18" t="n">
        <v>0.049</v>
      </c>
      <c r="M410" s="9">
        <f>ROUND(K410*L410,0)</f>
        <v/>
      </c>
      <c r="N410" s="9" t="n">
        <v>16655</v>
      </c>
      <c r="O410" s="9">
        <f>N410-M410</f>
        <v/>
      </c>
      <c r="P410" s="8" t="inlineStr">
        <is>
          <t>MS2 Engineering submittal 10% x station price share 5.48% | Design stage key 4.9% of the engineering-submittal milestone</t>
        </is>
      </c>
      <c r="Q410" s="8" t="inlineStr">
        <is>
          <t>Annex 3 Design and engineering package (railway) allocated by station hardware share</t>
        </is>
      </c>
      <c r="R410" s="9" t="n">
        <v>24</v>
      </c>
      <c r="S410" s="19">
        <f>R410/1000</f>
        <v/>
      </c>
      <c r="T410" s="20" t="n">
        <v>46909</v>
      </c>
      <c r="U410" s="20" t="n">
        <v>46945</v>
      </c>
      <c r="V410" s="8" t="n">
        <v>27</v>
      </c>
    </row>
    <row r="411">
      <c r="A411" s="8" t="inlineStr">
        <is>
          <t>SH-DES</t>
        </is>
      </c>
      <c r="B411" s="8" t="inlineStr">
        <is>
          <t>Design and engineering package (per railway, allocated to the station)</t>
        </is>
      </c>
      <c r="C411" s="8" t="inlineStr">
        <is>
          <t>NHL-E1120</t>
        </is>
      </c>
      <c r="D411" s="8" t="inlineStr">
        <is>
          <t>HCIS Stage 3 and 4 documents: SAR final review and HCIS submission - Hail</t>
        </is>
      </c>
      <c r="E411" s="8" t="inlineStr">
        <is>
          <t>ENG.NHL.HCS.APR</t>
        </is>
      </c>
      <c r="F411" s="8" t="inlineStr">
        <is>
          <t>Engineering</t>
        </is>
      </c>
      <c r="G411" s="8" t="inlineStr">
        <is>
          <t>NHL</t>
        </is>
      </c>
      <c r="H411" s="8" t="inlineStr">
        <is>
          <t>MS3</t>
        </is>
      </c>
      <c r="I411" s="16" t="n">
        <v>0.1</v>
      </c>
      <c r="J411" s="10">
        <f>Station_BOQ!R16</f>
        <v/>
      </c>
      <c r="K411" s="9">
        <f>I411*62000000*J411</f>
        <v/>
      </c>
      <c r="L411" s="18" t="n">
        <v>0.05</v>
      </c>
      <c r="M411" s="9">
        <f>ROUND(K411*L411,0)</f>
        <v/>
      </c>
      <c r="N411" s="9" t="n">
        <v>16995</v>
      </c>
      <c r="O411" s="9">
        <f>N411-M411</f>
        <v/>
      </c>
      <c r="P411" s="8" t="inlineStr">
        <is>
          <t>MS3 SAR approval of engineering 10% x station price share 5.48% | Design stage key 5.0% of the SAR-approval milestone</t>
        </is>
      </c>
      <c r="Q411" s="8" t="inlineStr">
        <is>
          <t>Annex 3 Design and engineering package (railway) allocated by station hardware share</t>
        </is>
      </c>
      <c r="R411" s="9" t="n">
        <v>13</v>
      </c>
      <c r="S411" s="19">
        <f>R411/1000</f>
        <v/>
      </c>
      <c r="T411" s="20" t="n">
        <v>46946</v>
      </c>
      <c r="U411" s="20" t="n">
        <v>46966</v>
      </c>
      <c r="V411" s="8" t="n">
        <v>15</v>
      </c>
    </row>
    <row r="412">
      <c r="A412" s="8" t="inlineStr">
        <is>
          <t>SH-DES, SH-TRN</t>
        </is>
      </c>
      <c r="B412" s="8" t="inlineStr">
        <is>
          <t>Design and engineering package (per railway, allocated to the station) and Training (per railway, allocated): documentation and training share</t>
        </is>
      </c>
      <c r="C412" s="8" t="inlineStr">
        <is>
          <t>NHL-E1130</t>
        </is>
      </c>
      <c r="D412" s="8" t="inlineStr">
        <is>
          <t>As-built and O&amp;M documentation: submittal - Hail</t>
        </is>
      </c>
      <c r="E412" s="8" t="inlineStr">
        <is>
          <t>ENG.NHL.ASB.SUB</t>
        </is>
      </c>
      <c r="F412" s="8" t="inlineStr">
        <is>
          <t>Engineering</t>
        </is>
      </c>
      <c r="G412" s="8" t="inlineStr">
        <is>
          <t>NHL</t>
        </is>
      </c>
      <c r="H412" s="8" t="inlineStr">
        <is>
          <t>MS7</t>
        </is>
      </c>
      <c r="I412" s="16" t="n">
        <v>0.1</v>
      </c>
      <c r="J412" s="10">
        <f>Station_BOQ!R16</f>
        <v/>
      </c>
      <c r="K412" s="9">
        <f>I412*62000000*J412</f>
        <v/>
      </c>
      <c r="L412" s="18" t="n">
        <v>0.15</v>
      </c>
      <c r="M412" s="9">
        <f>ROUND(K412*L412,0)</f>
        <v/>
      </c>
      <c r="N412" s="9" t="n">
        <v>50984</v>
      </c>
      <c r="O412" s="9">
        <f>N412-M412</f>
        <v/>
      </c>
      <c r="P412" s="8" t="inlineStr">
        <is>
          <t>MS7 Final acceptance and handover 10% x station price share 5.48% | Fixed key 15% of final-acceptance milestone</t>
        </is>
      </c>
      <c r="Q412" s="8" t="inlineStr">
        <is>
          <t>Annex 3 documentation and training share</t>
        </is>
      </c>
      <c r="R412" s="9" t="n">
        <v>40</v>
      </c>
      <c r="S412" s="19">
        <f>R412/1000</f>
        <v/>
      </c>
      <c r="T412" s="20" t="n">
        <v>47147</v>
      </c>
      <c r="U412" s="20" t="n">
        <v>47192</v>
      </c>
      <c r="V412" s="8" t="n">
        <v>28</v>
      </c>
    </row>
    <row r="413">
      <c r="A413" s="8" t="inlineStr">
        <is>
          <t>SH-DES</t>
        </is>
      </c>
      <c r="B413" s="8" t="inlineStr">
        <is>
          <t>Design and engineering package (per railway, allocated to the station): documentation share</t>
        </is>
      </c>
      <c r="C413" s="8" t="inlineStr">
        <is>
          <t>NHL-E1140</t>
        </is>
      </c>
      <c r="D413" s="8" t="inlineStr">
        <is>
          <t>As-built and O&amp;M documentation: SAR review and approval - Hail</t>
        </is>
      </c>
      <c r="E413" s="8" t="inlineStr">
        <is>
          <t>ENG.NHL.ASB.APR</t>
        </is>
      </c>
      <c r="F413" s="8" t="inlineStr">
        <is>
          <t>Engineering</t>
        </is>
      </c>
      <c r="G413" s="8" t="inlineStr">
        <is>
          <t>NHL</t>
        </is>
      </c>
      <c r="H413" s="8" t="inlineStr">
        <is>
          <t>MS7</t>
        </is>
      </c>
      <c r="I413" s="16" t="n">
        <v>0.1</v>
      </c>
      <c r="J413" s="10">
        <f>Station_BOQ!R16</f>
        <v/>
      </c>
      <c r="K413" s="9">
        <f>I413*62000000*J413</f>
        <v/>
      </c>
      <c r="L413" s="18" t="n">
        <v>0.05</v>
      </c>
      <c r="M413" s="9">
        <f>ROUND(K413*L413,0)</f>
        <v/>
      </c>
      <c r="N413" s="9" t="n">
        <v>16995</v>
      </c>
      <c r="O413" s="9">
        <f>N413-M413</f>
        <v/>
      </c>
      <c r="P413" s="8" t="inlineStr">
        <is>
          <t>MS7 Final acceptance and handover 10% x station price share 5.48% | Fixed key 5%</t>
        </is>
      </c>
      <c r="Q413" s="8" t="inlineStr">
        <is>
          <t>Annex 3 documentation share</t>
        </is>
      </c>
      <c r="R413" s="9" t="n">
        <v>22</v>
      </c>
      <c r="S413" s="19">
        <f>R413/1000</f>
        <v/>
      </c>
      <c r="T413" s="20" t="n">
        <v>47195</v>
      </c>
      <c r="U413" s="20" t="n">
        <v>47213</v>
      </c>
      <c r="V413" s="8" t="n">
        <v>15</v>
      </c>
    </row>
    <row r="414">
      <c r="A414" s="8" t="inlineStr">
        <is>
          <t>-</t>
        </is>
      </c>
      <c r="B414" s="8" t="inlineStr">
        <is>
          <t>No BOQ cost: administrative or review step with no payment milestone</t>
        </is>
      </c>
      <c r="C414" s="8" t="inlineStr">
        <is>
          <t>NHL-X1010</t>
        </is>
      </c>
      <c r="D414" s="8" t="inlineStr">
        <is>
          <t>Enabling works: site preparation, setting out, temporary works and utilities clearance - Hail</t>
        </is>
      </c>
      <c r="E414" s="8" t="inlineStr">
        <is>
          <t>CON.NHL.ENA</t>
        </is>
      </c>
      <c r="F414" s="8" t="inlineStr">
        <is>
          <t>Construction</t>
        </is>
      </c>
      <c r="G414" s="8" t="inlineStr">
        <is>
          <t>NHL</t>
        </is>
      </c>
      <c r="H414" s="8" t="inlineStr">
        <is>
          <t>MS5</t>
        </is>
      </c>
      <c r="I414" s="16" t="n">
        <v>0.2</v>
      </c>
      <c r="J414" s="10">
        <f>Station_BOQ!R16</f>
        <v/>
      </c>
      <c r="K414" s="9">
        <f>I414*62000000*J414</f>
        <v/>
      </c>
      <c r="L414" s="18" t="n">
        <v>0.0124039217219117</v>
      </c>
      <c r="M414" s="9">
        <f>ROUND(K414*L414,0)</f>
        <v/>
      </c>
      <c r="N414" s="9" t="n">
        <v>8432</v>
      </c>
      <c r="O414" s="9">
        <f>N414-M414</f>
        <v/>
      </c>
      <c r="P414" s="8" t="inlineStr">
        <is>
          <t>MS5 Installation 20% x station price share 5.48% | BOQ civil share 31.0% x 4% (enabling: site preparation)</t>
        </is>
      </c>
      <c r="Q414" s="8" t="inlineStr">
        <is>
          <t>Annex 3 A6 Civil works (SAR 745,743)</t>
        </is>
      </c>
      <c r="R414" s="9" t="n">
        <v>53</v>
      </c>
      <c r="S414" s="19">
        <f>R414/1000</f>
        <v/>
      </c>
      <c r="T414" s="20" t="n">
        <v>46967</v>
      </c>
      <c r="U414" s="20" t="n">
        <v>46973</v>
      </c>
      <c r="V414" s="8" t="n">
        <v>5</v>
      </c>
    </row>
    <row r="415">
      <c r="A415" s="8" t="inlineStr">
        <is>
          <t>-</t>
        </is>
      </c>
      <c r="B415" s="8" t="inlineStr">
        <is>
          <t>No BOQ cost: administrative or review step with no payment milestone</t>
        </is>
      </c>
      <c r="C415" s="8" t="inlineStr">
        <is>
          <t>NHL-X1020</t>
        </is>
      </c>
      <c r="D415" s="8" t="inlineStr">
        <is>
          <t>Enabling works: cable routes, duct-bank and cabinet plinth preparation - Hail</t>
        </is>
      </c>
      <c r="E415" s="8" t="inlineStr">
        <is>
          <t>CON.NHL.ENA</t>
        </is>
      </c>
      <c r="F415" s="8" t="inlineStr">
        <is>
          <t>Construction</t>
        </is>
      </c>
      <c r="G415" s="8" t="inlineStr">
        <is>
          <t>NHL</t>
        </is>
      </c>
      <c r="H415" s="8" t="inlineStr">
        <is>
          <t>MS5</t>
        </is>
      </c>
      <c r="I415" s="16" t="n">
        <v>0.2</v>
      </c>
      <c r="J415" s="10">
        <f>Station_BOQ!R16</f>
        <v/>
      </c>
      <c r="K415" s="9">
        <f>I415*62000000*J415</f>
        <v/>
      </c>
      <c r="L415" s="18" t="n">
        <v>0.01860588258286754</v>
      </c>
      <c r="M415" s="9">
        <f>ROUND(K415*L415,0)</f>
        <v/>
      </c>
      <c r="N415" s="9" t="n">
        <v>12648</v>
      </c>
      <c r="O415" s="9">
        <f>N415-M415</f>
        <v/>
      </c>
      <c r="P415" s="8" t="inlineStr">
        <is>
          <t>MS5 Installation 20% x station price share 5.48% | BOQ civil share 31.0% x 6% (enabling: routes, ducts, plinths)</t>
        </is>
      </c>
      <c r="Q415" s="8" t="inlineStr">
        <is>
          <t>Annex 3 A6 Civil works (SAR 745,743)</t>
        </is>
      </c>
      <c r="R415" s="9" t="n">
        <v>79</v>
      </c>
      <c r="S415" s="19">
        <f>R415/1000</f>
        <v/>
      </c>
      <c r="T415" s="20" t="n">
        <v>46974</v>
      </c>
      <c r="U415" s="20" t="n">
        <v>46987</v>
      </c>
      <c r="V415" s="8" t="n">
        <v>10</v>
      </c>
    </row>
    <row r="416">
      <c r="A416" s="8" t="inlineStr">
        <is>
          <t>A1</t>
        </is>
      </c>
      <c r="B416" s="8" t="inlineStr">
        <is>
          <t>A1 CCTV system</t>
        </is>
      </c>
      <c r="C416" s="8" t="inlineStr">
        <is>
          <t>NHL-P1010</t>
        </is>
      </c>
      <c r="D416" s="8" t="inlineStr">
        <is>
          <t>Manufacture CCTV cameras and analytics - Hail</t>
        </is>
      </c>
      <c r="E416" s="8" t="inlineStr">
        <is>
          <t>PRO.NHL.CCT</t>
        </is>
      </c>
      <c r="F416" s="8" t="inlineStr">
        <is>
          <t>Procurement</t>
        </is>
      </c>
      <c r="G416" s="8" t="inlineStr">
        <is>
          <t>NHL</t>
        </is>
      </c>
      <c r="H416" s="8" t="inlineStr">
        <is>
          <t>MS4</t>
        </is>
      </c>
      <c r="I416" s="16" t="n">
        <v>0.2</v>
      </c>
      <c r="J416" s="10">
        <f>Station_BOQ!R16</f>
        <v/>
      </c>
      <c r="K416" s="9">
        <f>I416*62000000*J416</f>
        <v/>
      </c>
      <c r="L416" s="18" t="n">
        <v>0.1532390081724096</v>
      </c>
      <c r="M416" s="9">
        <f>ROUND(K416*L416,0)</f>
        <v/>
      </c>
      <c r="N416" s="9" t="n">
        <v>104169</v>
      </c>
      <c r="O416" s="9">
        <f>N416-M416</f>
        <v/>
      </c>
      <c r="P416" s="8" t="inlineStr">
        <is>
          <t>MS4 Material delivery 20% x station price share 5.48% | BOQ section share 20.4% of station equipment x 75% (manufacture)</t>
        </is>
      </c>
      <c r="Q416" s="8" t="inlineStr">
        <is>
          <t>Annex 3 A1 CCTV system (SAR 338,989)</t>
        </is>
      </c>
      <c r="R416" s="9" t="n">
        <v>258</v>
      </c>
      <c r="S416" s="19">
        <f>R416/1000</f>
        <v/>
      </c>
      <c r="T416" s="20" t="n">
        <v>46967</v>
      </c>
      <c r="U416" s="20" t="n">
        <v>47031</v>
      </c>
      <c r="V416" s="8" t="n">
        <v>47</v>
      </c>
    </row>
    <row r="417">
      <c r="A417" s="8" t="inlineStr">
        <is>
          <t>A2</t>
        </is>
      </c>
      <c r="B417" s="8" t="inlineStr">
        <is>
          <t>A2 Video management and video wall</t>
        </is>
      </c>
      <c r="C417" s="8" t="inlineStr">
        <is>
          <t>NHL-P1020</t>
        </is>
      </c>
      <c r="D417" s="8" t="inlineStr">
        <is>
          <t>Manufacture video management servers, storage and video wall - Hail</t>
        </is>
      </c>
      <c r="E417" s="8" t="inlineStr">
        <is>
          <t>PRO.NHL.VMS</t>
        </is>
      </c>
      <c r="F417" s="8" t="inlineStr">
        <is>
          <t>Procurement</t>
        </is>
      </c>
      <c r="G417" s="8" t="inlineStr">
        <is>
          <t>NHL</t>
        </is>
      </c>
      <c r="H417" s="8" t="inlineStr">
        <is>
          <t>MS4</t>
        </is>
      </c>
      <c r="I417" s="16" t="n">
        <v>0.2</v>
      </c>
      <c r="J417" s="10">
        <f>Station_BOQ!R16</f>
        <v/>
      </c>
      <c r="K417" s="9">
        <f>I417*62000000*J417</f>
        <v/>
      </c>
      <c r="L417" s="18" t="n">
        <v>0.1623821136398294</v>
      </c>
      <c r="M417" s="9">
        <f>ROUND(K417*L417,0)</f>
        <v/>
      </c>
      <c r="N417" s="9" t="n">
        <v>110385</v>
      </c>
      <c r="O417" s="9">
        <f>N417-M417</f>
        <v/>
      </c>
      <c r="P417" s="8" t="inlineStr">
        <is>
          <t>MS4 Material delivery 20% x station price share 5.48% | BOQ section share 21.7% of station equipment x 75% (manufacture)</t>
        </is>
      </c>
      <c r="Q417" s="8" t="inlineStr">
        <is>
          <t>Annex 3 A2 Video management and wall (SAR 359,215)</t>
        </is>
      </c>
      <c r="R417" s="9" t="n">
        <v>273</v>
      </c>
      <c r="S417" s="19">
        <f>R417/1000</f>
        <v/>
      </c>
      <c r="T417" s="20" t="n">
        <v>46967</v>
      </c>
      <c r="U417" s="20" t="n">
        <v>47031</v>
      </c>
      <c r="V417" s="8" t="n">
        <v>47</v>
      </c>
    </row>
    <row r="418">
      <c r="A418" s="8" t="inlineStr">
        <is>
          <t>A3</t>
        </is>
      </c>
      <c r="B418" s="8" t="inlineStr">
        <is>
          <t>A3 Access control and intercom</t>
        </is>
      </c>
      <c r="C418" s="8" t="inlineStr">
        <is>
          <t>NHL-P1030</t>
        </is>
      </c>
      <c r="D418" s="8" t="inlineStr">
        <is>
          <t>Manufacture access control and intercom equipment - Hail</t>
        </is>
      </c>
      <c r="E418" s="8" t="inlineStr">
        <is>
          <t>PRO.NHL.ACC</t>
        </is>
      </c>
      <c r="F418" s="8" t="inlineStr">
        <is>
          <t>Procurement</t>
        </is>
      </c>
      <c r="G418" s="8" t="inlineStr">
        <is>
          <t>NHL</t>
        </is>
      </c>
      <c r="H418" s="8" t="inlineStr">
        <is>
          <t>MS4</t>
        </is>
      </c>
      <c r="I418" s="16" t="n">
        <v>0.2</v>
      </c>
      <c r="J418" s="10">
        <f>Station_BOQ!R16</f>
        <v/>
      </c>
      <c r="K418" s="9">
        <f>I418*62000000*J418</f>
        <v/>
      </c>
      <c r="L418" s="18" t="n">
        <v>0.01992849819693464</v>
      </c>
      <c r="M418" s="9">
        <f>ROUND(K418*L418,0)</f>
        <v/>
      </c>
      <c r="N418" s="9" t="n">
        <v>13547</v>
      </c>
      <c r="O418" s="9">
        <f>N418-M418</f>
        <v/>
      </c>
      <c r="P418" s="8" t="inlineStr">
        <is>
          <t>MS4 Material delivery 20% x station price share 5.48% | BOQ section share 2.7% of station equipment x 75% (manufacture)</t>
        </is>
      </c>
      <c r="Q418" s="8" t="inlineStr">
        <is>
          <t>Annex 3 A3 Access control and intercom (SAR 44,085)</t>
        </is>
      </c>
      <c r="R418" s="9" t="n">
        <v>34</v>
      </c>
      <c r="S418" s="19">
        <f>R418/1000</f>
        <v/>
      </c>
      <c r="T418" s="20" t="n">
        <v>46967</v>
      </c>
      <c r="U418" s="20" t="n">
        <v>47031</v>
      </c>
      <c r="V418" s="8" t="n">
        <v>47</v>
      </c>
    </row>
    <row r="419">
      <c r="A419" s="8" t="inlineStr">
        <is>
          <t>A4, A5</t>
        </is>
      </c>
      <c r="B419" s="8" t="inlineStr">
        <is>
          <t>A4 UPS and A5 Poles, cabinets and network</t>
        </is>
      </c>
      <c r="C419" s="8" t="inlineStr">
        <is>
          <t>NHL-P1040</t>
        </is>
      </c>
      <c r="D419" s="8" t="inlineStr">
        <is>
          <t>Manufacture UPS, network switches and field cabinets - Hail</t>
        </is>
      </c>
      <c r="E419" s="8" t="inlineStr">
        <is>
          <t>PRO.NHL.UPN</t>
        </is>
      </c>
      <c r="F419" s="8" t="inlineStr">
        <is>
          <t>Procurement</t>
        </is>
      </c>
      <c r="G419" s="8" t="inlineStr">
        <is>
          <t>NHL</t>
        </is>
      </c>
      <c r="H419" s="8" t="inlineStr">
        <is>
          <t>MS4</t>
        </is>
      </c>
      <c r="I419" s="16" t="n">
        <v>0.2</v>
      </c>
      <c r="J419" s="10">
        <f>Station_BOQ!R16</f>
        <v/>
      </c>
      <c r="K419" s="9">
        <f>I419*62000000*J419</f>
        <v/>
      </c>
      <c r="L419" s="18" t="n">
        <v>0.4144503799908265</v>
      </c>
      <c r="M419" s="9">
        <f>ROUND(K419*L419,0)</f>
        <v/>
      </c>
      <c r="N419" s="9" t="n">
        <v>281736</v>
      </c>
      <c r="O419" s="9">
        <f>N419-M419</f>
        <v/>
      </c>
      <c r="P419" s="8" t="inlineStr">
        <is>
          <t>MS4 Material delivery 20% x station price share 5.48% | BOQ section share 55.3% of station equipment x 75% (manufacture)</t>
        </is>
      </c>
      <c r="Q419" s="8" t="inlineStr">
        <is>
          <t>Annex 3 A4 UPS + A5 poles, cabinets and network (SAR 916,830)</t>
        </is>
      </c>
      <c r="R419" s="9" t="n">
        <v>698</v>
      </c>
      <c r="S419" s="19">
        <f>R419/1000</f>
        <v/>
      </c>
      <c r="T419" s="20" t="n">
        <v>46967</v>
      </c>
      <c r="U419" s="20" t="n">
        <v>47031</v>
      </c>
      <c r="V419" s="8" t="n">
        <v>47</v>
      </c>
    </row>
    <row r="420">
      <c r="A420" s="8" t="inlineStr">
        <is>
          <t>SH-FAT</t>
        </is>
      </c>
      <c r="B420" s="8" t="inlineStr">
        <is>
          <t>Factory acceptance test (per railway, allocated)</t>
        </is>
      </c>
      <c r="C420" s="8" t="inlineStr">
        <is>
          <t>NHL-P1050</t>
        </is>
      </c>
      <c r="D420" s="8" t="inlineStr">
        <is>
          <t>Factory acceptance test at vendor premises - Hail</t>
        </is>
      </c>
      <c r="E420" s="8" t="inlineStr">
        <is>
          <t>PRO.NHL.LOG</t>
        </is>
      </c>
      <c r="F420" s="8" t="inlineStr">
        <is>
          <t>Procurement</t>
        </is>
      </c>
      <c r="G420" s="8" t="inlineStr">
        <is>
          <t>NHL</t>
        </is>
      </c>
      <c r="H420" s="8" t="inlineStr">
        <is>
          <t>MS4</t>
        </is>
      </c>
      <c r="I420" s="16" t="n">
        <v>0.2</v>
      </c>
      <c r="J420" s="10">
        <f>Station_BOQ!R16</f>
        <v/>
      </c>
      <c r="K420" s="9">
        <f>I420*62000000*J420</f>
        <v/>
      </c>
      <c r="L420" s="18" t="n">
        <v>0.05</v>
      </c>
      <c r="M420" s="9">
        <f>ROUND(K420*L420,0)</f>
        <v/>
      </c>
      <c r="N420" s="9" t="n">
        <v>33989</v>
      </c>
      <c r="O420" s="9">
        <f>N420-M420</f>
        <v/>
      </c>
      <c r="P420" s="8" t="inlineStr">
        <is>
          <t>MS4 Material delivery 20% x station price share 5.48% | Fixed key 5% (FAT)</t>
        </is>
      </c>
      <c r="Q420" s="8" t="inlineStr">
        <is>
          <t>Annex 3 Factory acceptance test (railway), allocated by hardware share</t>
        </is>
      </c>
      <c r="R420" s="9" t="n">
        <v>211</v>
      </c>
      <c r="S420" s="19">
        <f>R420/1000</f>
        <v/>
      </c>
      <c r="T420" s="20" t="n">
        <v>47034</v>
      </c>
      <c r="U420" s="20" t="n">
        <v>47045</v>
      </c>
      <c r="V420" s="8" t="n">
        <v>10</v>
      </c>
    </row>
    <row r="421">
      <c r="A421" s="8" t="inlineStr">
        <is>
          <t>A1-A5</t>
        </is>
      </c>
      <c r="B421" s="8" t="inlineStr">
        <is>
          <t>A1 to A5 equipment sections: logistics (shipping, customs, delivery) share</t>
        </is>
      </c>
      <c r="C421" s="8" t="inlineStr">
        <is>
          <t>NHL-P1060</t>
        </is>
      </c>
      <c r="D421" s="8" t="inlineStr">
        <is>
          <t>Shipping and customs clearance - Hail</t>
        </is>
      </c>
      <c r="E421" s="8" t="inlineStr">
        <is>
          <t>PRO.NHL.LOG</t>
        </is>
      </c>
      <c r="F421" s="8" t="inlineStr">
        <is>
          <t>Procurement</t>
        </is>
      </c>
      <c r="G421" s="8" t="inlineStr">
        <is>
          <t>NHL</t>
        </is>
      </c>
      <c r="H421" s="8" t="inlineStr">
        <is>
          <t>MS4</t>
        </is>
      </c>
      <c r="I421" s="16" t="n">
        <v>0.2</v>
      </c>
      <c r="J421" s="10">
        <f>Station_BOQ!R16</f>
        <v/>
      </c>
      <c r="K421" s="9">
        <f>I421*62000000*J421</f>
        <v/>
      </c>
      <c r="L421" s="18" t="n">
        <v>0.15</v>
      </c>
      <c r="M421" s="9">
        <f>ROUND(K421*L421,0)</f>
        <v/>
      </c>
      <c r="N421" s="9" t="n">
        <v>101967</v>
      </c>
      <c r="O421" s="9">
        <f>N421-M421</f>
        <v/>
      </c>
      <c r="P421" s="8" t="inlineStr">
        <is>
          <t>MS4 Material delivery 20% x station price share 5.48% | Fixed key 15% (shipping and customs)</t>
        </is>
      </c>
      <c r="Q421" s="8" t="inlineStr">
        <is>
          <t>Annex 3 equipment sections A1-A5 (logistics share)</t>
        </is>
      </c>
      <c r="R421" s="9" t="n">
        <v>421</v>
      </c>
      <c r="S421" s="19">
        <f>R421/1000</f>
        <v/>
      </c>
      <c r="T421" s="20" t="n">
        <v>47048</v>
      </c>
      <c r="U421" s="20" t="n">
        <v>47077</v>
      </c>
      <c r="V421" s="8" t="n">
        <v>22</v>
      </c>
    </row>
    <row r="422">
      <c r="A422" s="8" t="inlineStr">
        <is>
          <t>SH-SPR</t>
        </is>
      </c>
      <c r="B422" s="8" t="inlineStr">
        <is>
          <t>Commissioning spares (per railway, allocated)</t>
        </is>
      </c>
      <c r="C422" s="8" t="inlineStr">
        <is>
          <t>NHL-P1070</t>
        </is>
      </c>
      <c r="D422" s="8" t="inlineStr">
        <is>
          <t>Delivery to station and receiving inspection - Hail</t>
        </is>
      </c>
      <c r="E422" s="8" t="inlineStr">
        <is>
          <t>PRO.NHL.LOG</t>
        </is>
      </c>
      <c r="F422" s="8" t="inlineStr">
        <is>
          <t>Procurement</t>
        </is>
      </c>
      <c r="G422" s="8" t="inlineStr">
        <is>
          <t>NHL</t>
        </is>
      </c>
      <c r="H422" s="8" t="inlineStr">
        <is>
          <t>MS4</t>
        </is>
      </c>
      <c r="I422" s="16" t="n">
        <v>0.2</v>
      </c>
      <c r="J422" s="10">
        <f>Station_BOQ!R16</f>
        <v/>
      </c>
      <c r="K422" s="9">
        <f>I422*62000000*J422</f>
        <v/>
      </c>
      <c r="L422" s="18" t="n">
        <v>0.05</v>
      </c>
      <c r="M422" s="9">
        <f>ROUND(K422*L422,0)</f>
        <v/>
      </c>
      <c r="N422" s="9" t="n">
        <v>33989</v>
      </c>
      <c r="O422" s="9">
        <f>N422-M422</f>
        <v/>
      </c>
      <c r="P422" s="8" t="inlineStr">
        <is>
          <t>MS4 Material delivery 20% x station price share 5.48% | Fixed key 5% (delivery, receiving) incl. commissioning spares</t>
        </is>
      </c>
      <c r="Q422" s="8" t="inlineStr">
        <is>
          <t>Annex 3 Commissioning spares (railway), allocated by hardware share</t>
        </is>
      </c>
      <c r="R422" s="9" t="n">
        <v>211</v>
      </c>
      <c r="S422" s="19">
        <f>R422/1000</f>
        <v/>
      </c>
      <c r="T422" s="20" t="n">
        <v>47078</v>
      </c>
      <c r="U422" s="20" t="n">
        <v>47084</v>
      </c>
      <c r="V422" s="8" t="n">
        <v>5</v>
      </c>
    </row>
    <row r="423">
      <c r="A423" s="8" t="inlineStr">
        <is>
          <t>A6</t>
        </is>
      </c>
      <c r="B423" s="8" t="inlineStr">
        <is>
          <t>A6 Civil works</t>
        </is>
      </c>
      <c r="C423" s="8" t="inlineStr">
        <is>
          <t>NHL-C1010</t>
        </is>
      </c>
      <c r="D423" s="8" t="inlineStr">
        <is>
          <t>Civil: platform trenches and duct banks - Hail</t>
        </is>
      </c>
      <c r="E423" s="8" t="inlineStr">
        <is>
          <t>CON.NHL.CIV</t>
        </is>
      </c>
      <c r="F423" s="8" t="inlineStr">
        <is>
          <t>Construction</t>
        </is>
      </c>
      <c r="G423" s="8" t="inlineStr">
        <is>
          <t>NHL</t>
        </is>
      </c>
      <c r="H423" s="8" t="inlineStr">
        <is>
          <t>MS5</t>
        </is>
      </c>
      <c r="I423" s="16" t="n">
        <v>0.2</v>
      </c>
      <c r="J423" s="10">
        <f>Station_BOQ!R16</f>
        <v/>
      </c>
      <c r="K423" s="9">
        <f>I423*62000000*J423</f>
        <v/>
      </c>
      <c r="L423" s="18" t="n">
        <v>0.1550490215238962</v>
      </c>
      <c r="M423" s="9">
        <f>ROUND(K423*L423,0)</f>
        <v/>
      </c>
      <c r="N423" s="9" t="n">
        <v>105400</v>
      </c>
      <c r="O423" s="9">
        <f>N423-M423</f>
        <v/>
      </c>
      <c r="P423" s="8" t="inlineStr">
        <is>
          <t>MS5 Installation 20% x station price share 5.48% | BOQ civil share 31.0% x 50% (trenches and duct banks)</t>
        </is>
      </c>
      <c r="Q423" s="8" t="inlineStr">
        <is>
          <t>Annex 3 A6 Civil works (SAR 745,743)</t>
        </is>
      </c>
      <c r="R423" s="9" t="n">
        <v>342</v>
      </c>
      <c r="S423" s="19">
        <f>R423/1000</f>
        <v/>
      </c>
      <c r="T423" s="20" t="n">
        <v>46988</v>
      </c>
      <c r="U423" s="20" t="n">
        <v>47066</v>
      </c>
      <c r="V423" s="8" t="n">
        <v>57</v>
      </c>
    </row>
    <row r="424">
      <c r="A424" s="8" t="inlineStr">
        <is>
          <t>A6</t>
        </is>
      </c>
      <c r="B424" s="8" t="inlineStr">
        <is>
          <t>A6 Civil works</t>
        </is>
      </c>
      <c r="C424" s="8" t="inlineStr">
        <is>
          <t>NHL-C1020</t>
        </is>
      </c>
      <c r="D424" s="8" t="inlineStr">
        <is>
          <t>Civil: camera and ALPR pole foundations and poles - Hail</t>
        </is>
      </c>
      <c r="E424" s="8" t="inlineStr">
        <is>
          <t>CON.NHL.CIV</t>
        </is>
      </c>
      <c r="F424" s="8" t="inlineStr">
        <is>
          <t>Construction</t>
        </is>
      </c>
      <c r="G424" s="8" t="inlineStr">
        <is>
          <t>NHL</t>
        </is>
      </c>
      <c r="H424" s="8" t="inlineStr">
        <is>
          <t>MS5</t>
        </is>
      </c>
      <c r="I424" s="16" t="n">
        <v>0.2</v>
      </c>
      <c r="J424" s="10">
        <f>Station_BOQ!R16</f>
        <v/>
      </c>
      <c r="K424" s="9">
        <f>I424*62000000*J424</f>
        <v/>
      </c>
      <c r="L424" s="18" t="n">
        <v>0.124039217219117</v>
      </c>
      <c r="M424" s="9">
        <f>ROUND(K424*L424,0)</f>
        <v/>
      </c>
      <c r="N424" s="9" t="n">
        <v>84320</v>
      </c>
      <c r="O424" s="9">
        <f>N424-M424</f>
        <v/>
      </c>
      <c r="P424" s="8" t="inlineStr">
        <is>
          <t>MS5 Installation 20% x station price share 5.48% | BOQ civil share 31.0% x 40% (poles)</t>
        </is>
      </c>
      <c r="Q424" s="8" t="inlineStr">
        <is>
          <t>Annex 3 A6 Civil works (SAR 745,743)</t>
        </is>
      </c>
      <c r="R424" s="9" t="n">
        <v>263</v>
      </c>
      <c r="S424" s="19">
        <f>R424/1000</f>
        <v/>
      </c>
      <c r="T424" s="20" t="n">
        <v>47041</v>
      </c>
      <c r="U424" s="20" t="n">
        <v>47101</v>
      </c>
      <c r="V424" s="8" t="n">
        <v>45</v>
      </c>
    </row>
    <row r="425">
      <c r="A425" s="8" t="inlineStr">
        <is>
          <t>A1-A5</t>
        </is>
      </c>
      <c r="B425" s="8" t="inlineStr">
        <is>
          <t>A1 to A5 equipment sections: installation share (works included in unit prices)</t>
        </is>
      </c>
      <c r="C425" s="8" t="inlineStr">
        <is>
          <t>NHL-C2010</t>
        </is>
      </c>
      <c r="D425" s="8" t="inlineStr">
        <is>
          <t>Install UPS, network switches and field cabinets - Hail</t>
        </is>
      </c>
      <c r="E425" s="8" t="inlineStr">
        <is>
          <t>CON.NHL.INS</t>
        </is>
      </c>
      <c r="F425" s="8" t="inlineStr">
        <is>
          <t>Construction</t>
        </is>
      </c>
      <c r="G425" s="8" t="inlineStr">
        <is>
          <t>NHL</t>
        </is>
      </c>
      <c r="H425" s="8" t="inlineStr">
        <is>
          <t>MS5</t>
        </is>
      </c>
      <c r="I425" s="16" t="n">
        <v>0.2</v>
      </c>
      <c r="J425" s="10">
        <f>Station_BOQ!R16</f>
        <v/>
      </c>
      <c r="K425" s="9">
        <f>I425*62000000*J425</f>
        <v/>
      </c>
      <c r="L425" s="18" t="n">
        <v>0.1379803913904415</v>
      </c>
      <c r="M425" s="9">
        <f>ROUND(K425*L425,0)</f>
        <v/>
      </c>
      <c r="N425" s="9" t="n">
        <v>93797</v>
      </c>
      <c r="O425" s="9">
        <f>N425-M425</f>
        <v/>
      </c>
      <c r="P425" s="8" t="inlineStr">
        <is>
          <t>MS5 Installation 20% x station price share 5.48% | Installation key 20% x (1 - civil share 31.0%)</t>
        </is>
      </c>
      <c r="Q425" s="8" t="inlineStr">
        <is>
          <t>Annex 3 equipment sections A1-A5 (installation share)</t>
        </is>
      </c>
      <c r="R425" s="9" t="n">
        <v>158</v>
      </c>
      <c r="S425" s="19">
        <f>R425/1000</f>
        <v/>
      </c>
      <c r="T425" s="20" t="n">
        <v>47085</v>
      </c>
      <c r="U425" s="20" t="n">
        <v>47101</v>
      </c>
      <c r="V425" s="8" t="n">
        <v>13</v>
      </c>
    </row>
    <row r="426">
      <c r="A426" s="8" t="inlineStr">
        <is>
          <t>A1-A5</t>
        </is>
      </c>
      <c r="B426" s="8" t="inlineStr">
        <is>
          <t>A1 to A5 equipment sections: installation share (works included in unit prices)</t>
        </is>
      </c>
      <c r="C426" s="8" t="inlineStr">
        <is>
          <t>NHL-C2020</t>
        </is>
      </c>
      <c r="D426" s="8" t="inlineStr">
        <is>
          <t>Cabling and termination (power, fibre, data) - Hail</t>
        </is>
      </c>
      <c r="E426" s="8" t="inlineStr">
        <is>
          <t>CON.NHL.INS</t>
        </is>
      </c>
      <c r="F426" s="8" t="inlineStr">
        <is>
          <t>Construction</t>
        </is>
      </c>
      <c r="G426" s="8" t="inlineStr">
        <is>
          <t>NHL</t>
        </is>
      </c>
      <c r="H426" s="8" t="inlineStr">
        <is>
          <t>MS5</t>
        </is>
      </c>
      <c r="I426" s="16" t="n">
        <v>0.2</v>
      </c>
      <c r="J426" s="10">
        <f>Station_BOQ!R16</f>
        <v/>
      </c>
      <c r="K426" s="9">
        <f>I426*62000000*J426</f>
        <v/>
      </c>
      <c r="L426" s="18" t="n">
        <v>0.2069705870856623</v>
      </c>
      <c r="M426" s="9">
        <f>ROUND(K426*L426,0)</f>
        <v/>
      </c>
      <c r="N426" s="9" t="n">
        <v>140695</v>
      </c>
      <c r="O426" s="9">
        <f>N426-M426</f>
        <v/>
      </c>
      <c r="P426" s="8" t="inlineStr">
        <is>
          <t>MS5 Installation 20% x station price share 5.48% | Installation key 30% x (1 - civil share 31.0%)</t>
        </is>
      </c>
      <c r="Q426" s="8" t="inlineStr">
        <is>
          <t>Annex 3 equipment sections A1-A5 (installation share)</t>
        </is>
      </c>
      <c r="R426" s="9" t="n">
        <v>316</v>
      </c>
      <c r="S426" s="19">
        <f>R426/1000</f>
        <v/>
      </c>
      <c r="T426" s="20" t="n">
        <v>47091</v>
      </c>
      <c r="U426" s="20" t="n">
        <v>47120</v>
      </c>
      <c r="V426" s="8" t="n">
        <v>22</v>
      </c>
    </row>
    <row r="427">
      <c r="A427" s="8" t="inlineStr">
        <is>
          <t>A1-A5</t>
        </is>
      </c>
      <c r="B427" s="8" t="inlineStr">
        <is>
          <t>A1 to A5 equipment sections: installation share (works included in unit prices)</t>
        </is>
      </c>
      <c r="C427" s="8" t="inlineStr">
        <is>
          <t>NHL-C2030</t>
        </is>
      </c>
      <c r="D427" s="8" t="inlineStr">
        <is>
          <t>Install and aim CCTV cameras - Hail</t>
        </is>
      </c>
      <c r="E427" s="8" t="inlineStr">
        <is>
          <t>CON.NHL.INS</t>
        </is>
      </c>
      <c r="F427" s="8" t="inlineStr">
        <is>
          <t>Construction</t>
        </is>
      </c>
      <c r="G427" s="8" t="inlineStr">
        <is>
          <t>NHL</t>
        </is>
      </c>
      <c r="H427" s="8" t="inlineStr">
        <is>
          <t>MS5</t>
        </is>
      </c>
      <c r="I427" s="16" t="n">
        <v>0.2</v>
      </c>
      <c r="J427" s="10">
        <f>Station_BOQ!R16</f>
        <v/>
      </c>
      <c r="K427" s="9">
        <f>I427*62000000*J427</f>
        <v/>
      </c>
      <c r="L427" s="18" t="n">
        <v>0.1724754892380519</v>
      </c>
      <c r="M427" s="9">
        <f>ROUND(K427*L427,0)</f>
        <v/>
      </c>
      <c r="N427" s="9" t="n">
        <v>117246</v>
      </c>
      <c r="O427" s="9">
        <f>N427-M427</f>
        <v/>
      </c>
      <c r="P427" s="8" t="inlineStr">
        <is>
          <t>MS5 Installation 20% x station price share 5.48% | Installation key 25% x (1 - civil share 31.0%)</t>
        </is>
      </c>
      <c r="Q427" s="8" t="inlineStr">
        <is>
          <t>Annex 3 equipment sections A1-A5 (installation share)</t>
        </is>
      </c>
      <c r="R427" s="9" t="n">
        <v>263</v>
      </c>
      <c r="S427" s="19">
        <f>R427/1000</f>
        <v/>
      </c>
      <c r="T427" s="20" t="n">
        <v>47121</v>
      </c>
      <c r="U427" s="20" t="n">
        <v>47146</v>
      </c>
      <c r="V427" s="8" t="n">
        <v>18</v>
      </c>
    </row>
    <row r="428">
      <c r="A428" s="8" t="inlineStr">
        <is>
          <t>A1-A5</t>
        </is>
      </c>
      <c r="B428" s="8" t="inlineStr">
        <is>
          <t>A1 to A5 equipment sections: installation share (works included in unit prices)</t>
        </is>
      </c>
      <c r="C428" s="8" t="inlineStr">
        <is>
          <t>NHL-C2040</t>
        </is>
      </c>
      <c r="D428" s="8" t="inlineStr">
        <is>
          <t>Install video management, video wall and control-room equipment - Hail</t>
        </is>
      </c>
      <c r="E428" s="8" t="inlineStr">
        <is>
          <t>CON.NHL.INS</t>
        </is>
      </c>
      <c r="F428" s="8" t="inlineStr">
        <is>
          <t>Construction</t>
        </is>
      </c>
      <c r="G428" s="8" t="inlineStr">
        <is>
          <t>NHL</t>
        </is>
      </c>
      <c r="H428" s="8" t="inlineStr">
        <is>
          <t>MS5</t>
        </is>
      </c>
      <c r="I428" s="16" t="n">
        <v>0.2</v>
      </c>
      <c r="J428" s="10">
        <f>Station_BOQ!R16</f>
        <v/>
      </c>
      <c r="K428" s="9">
        <f>I428*62000000*J428</f>
        <v/>
      </c>
      <c r="L428" s="18" t="n">
        <v>0.1034852935428311</v>
      </c>
      <c r="M428" s="9">
        <f>ROUND(K428*L428,0)</f>
        <v/>
      </c>
      <c r="N428" s="9" t="n">
        <v>70348</v>
      </c>
      <c r="O428" s="9">
        <f>N428-M428</f>
        <v/>
      </c>
      <c r="P428" s="8" t="inlineStr">
        <is>
          <t>MS5 Installation 20% x station price share 5.48% | Installation key 15% x (1 - civil share 31.0%)</t>
        </is>
      </c>
      <c r="Q428" s="8" t="inlineStr">
        <is>
          <t>Annex 3 equipment sections A1-A5 (installation share)</t>
        </is>
      </c>
      <c r="R428" s="9" t="n">
        <v>158</v>
      </c>
      <c r="S428" s="19">
        <f>R428/1000</f>
        <v/>
      </c>
      <c r="T428" s="20" t="n">
        <v>47104</v>
      </c>
      <c r="U428" s="20" t="n">
        <v>47122</v>
      </c>
      <c r="V428" s="8" t="n">
        <v>15</v>
      </c>
    </row>
    <row r="429">
      <c r="A429" s="8" t="inlineStr">
        <is>
          <t>A1-A5</t>
        </is>
      </c>
      <c r="B429" s="8" t="inlineStr">
        <is>
          <t>A1 to A5 equipment sections: installation share (works included in unit prices)</t>
        </is>
      </c>
      <c r="C429" s="8" t="inlineStr">
        <is>
          <t>NHL-C2050</t>
        </is>
      </c>
      <c r="D429" s="8" t="inlineStr">
        <is>
          <t>Install access control and intercom - Hail</t>
        </is>
      </c>
      <c r="E429" s="8" t="inlineStr">
        <is>
          <t>CON.NHL.INS</t>
        </is>
      </c>
      <c r="F429" s="8" t="inlineStr">
        <is>
          <t>Construction</t>
        </is>
      </c>
      <c r="G429" s="8" t="inlineStr">
        <is>
          <t>NHL</t>
        </is>
      </c>
      <c r="H429" s="8" t="inlineStr">
        <is>
          <t>MS5</t>
        </is>
      </c>
      <c r="I429" s="16" t="n">
        <v>0.2</v>
      </c>
      <c r="J429" s="10">
        <f>Station_BOQ!R16</f>
        <v/>
      </c>
      <c r="K429" s="9">
        <f>I429*62000000*J429</f>
        <v/>
      </c>
      <c r="L429" s="18" t="n">
        <v>0.06899019569522076</v>
      </c>
      <c r="M429" s="9">
        <f>ROUND(K429*L429,0)</f>
        <v/>
      </c>
      <c r="N429" s="9" t="n">
        <v>46898</v>
      </c>
      <c r="O429" s="9">
        <f>N429-M429</f>
        <v/>
      </c>
      <c r="P429" s="8" t="inlineStr">
        <is>
          <t>MS5 Installation 20% x station price share 5.48% | Installation key 10% x (1 - civil share 31.0%)</t>
        </is>
      </c>
      <c r="Q429" s="8" t="inlineStr">
        <is>
          <t>Annex 3 equipment sections A1-A5 (installation share)</t>
        </is>
      </c>
      <c r="R429" s="9" t="n">
        <v>105</v>
      </c>
      <c r="S429" s="19">
        <f>R429/1000</f>
        <v/>
      </c>
      <c r="T429" s="20" t="n">
        <v>47108</v>
      </c>
      <c r="U429" s="20" t="n">
        <v>47126</v>
      </c>
      <c r="V429" s="8" t="n">
        <v>13</v>
      </c>
    </row>
    <row r="430">
      <c r="A430" s="8" t="inlineStr">
        <is>
          <t>A1-A5</t>
        </is>
      </c>
      <c r="B430" s="8" t="inlineStr">
        <is>
          <t>A1 to A5 equipment sections: testing and commissioning share</t>
        </is>
      </c>
      <c r="C430" s="8" t="inlineStr">
        <is>
          <t>NHL-T1010</t>
        </is>
      </c>
      <c r="D430" s="8" t="inlineStr">
        <is>
          <t>Pre-commissioning and loop checks - Hail</t>
        </is>
      </c>
      <c r="E430" s="8" t="inlineStr">
        <is>
          <t>COM.NHL.TST</t>
        </is>
      </c>
      <c r="F430" s="8" t="inlineStr">
        <is>
          <t>Commissioning and handover</t>
        </is>
      </c>
      <c r="G430" s="8" t="inlineStr">
        <is>
          <t>NHL</t>
        </is>
      </c>
      <c r="H430" s="8" t="inlineStr">
        <is>
          <t>MS6</t>
        </is>
      </c>
      <c r="I430" s="16" t="n">
        <v>0.1</v>
      </c>
      <c r="J430" s="10">
        <f>Station_BOQ!R16</f>
        <v/>
      </c>
      <c r="K430" s="9">
        <f>I430*62000000*J430</f>
        <v/>
      </c>
      <c r="L430" s="18" t="n">
        <v>0.4</v>
      </c>
      <c r="M430" s="9">
        <f>ROUND(K430*L430,0)</f>
        <v/>
      </c>
      <c r="N430" s="9" t="n">
        <v>135957</v>
      </c>
      <c r="O430" s="9">
        <f>N430-M430</f>
        <v/>
      </c>
      <c r="P430" s="8" t="inlineStr">
        <is>
          <t>MS6 Testing and commissioning (SAT) 10% x station price share 5.48% | Fixed key 40% of SAT milestone</t>
        </is>
      </c>
      <c r="Q430" s="8" t="inlineStr">
        <is>
          <t>Annex 3 equipment sections A1-A5 (testing share)</t>
        </is>
      </c>
      <c r="R430" s="9" t="n">
        <v>158</v>
      </c>
      <c r="S430" s="19">
        <f>R430/1000</f>
        <v/>
      </c>
      <c r="T430" s="20" t="n">
        <v>47147</v>
      </c>
      <c r="U430" s="20" t="n">
        <v>47153</v>
      </c>
      <c r="V430" s="8" t="n">
        <v>5</v>
      </c>
    </row>
    <row r="431">
      <c r="A431" s="8" t="inlineStr">
        <is>
          <t>A1-A5</t>
        </is>
      </c>
      <c r="B431" s="8" t="inlineStr">
        <is>
          <t>A1 to A5 equipment sections: testing and commissioning share</t>
        </is>
      </c>
      <c r="C431" s="8" t="inlineStr">
        <is>
          <t>NHL-T1020</t>
        </is>
      </c>
      <c r="D431" s="8" t="inlineStr">
        <is>
          <t>Site acceptance test (SAT) and commissioning - Hail</t>
        </is>
      </c>
      <c r="E431" s="8" t="inlineStr">
        <is>
          <t>COM.NHL.TST</t>
        </is>
      </c>
      <c r="F431" s="8" t="inlineStr">
        <is>
          <t>Commissioning and handover</t>
        </is>
      </c>
      <c r="G431" s="8" t="inlineStr">
        <is>
          <t>NHL</t>
        </is>
      </c>
      <c r="H431" s="8" t="inlineStr">
        <is>
          <t>MS6</t>
        </is>
      </c>
      <c r="I431" s="16" t="n">
        <v>0.1</v>
      </c>
      <c r="J431" s="10">
        <f>Station_BOQ!R16</f>
        <v/>
      </c>
      <c r="K431" s="9">
        <f>I431*62000000*J431</f>
        <v/>
      </c>
      <c r="L431" s="18" t="n">
        <v>0.6</v>
      </c>
      <c r="M431" s="9">
        <f>ROUND(K431*L431,0)</f>
        <v/>
      </c>
      <c r="N431" s="9" t="n">
        <v>203935</v>
      </c>
      <c r="O431" s="9">
        <f>N431-M431</f>
        <v/>
      </c>
      <c r="P431" s="8" t="inlineStr">
        <is>
          <t>MS6 Testing and commissioning (SAT) 10% x station price share 5.48% | Fixed key 60% of SAT milestone</t>
        </is>
      </c>
      <c r="Q431" s="8" t="inlineStr">
        <is>
          <t>Annex 3 equipment sections A1-A5 (testing share)</t>
        </is>
      </c>
      <c r="R431" s="9" t="n">
        <v>211</v>
      </c>
      <c r="S431" s="19">
        <f>R431/1000</f>
        <v/>
      </c>
      <c r="T431" s="20" t="n">
        <v>47154</v>
      </c>
      <c r="U431" s="20" t="n">
        <v>47170</v>
      </c>
      <c r="V431" s="8" t="n">
        <v>8</v>
      </c>
    </row>
    <row r="432">
      <c r="A432" s="8" t="inlineStr">
        <is>
          <t>SH-TRN</t>
        </is>
      </c>
      <c r="B432" s="8" t="inlineStr">
        <is>
          <t>Training (per railway, allocated)</t>
        </is>
      </c>
      <c r="C432" s="8" t="inlineStr">
        <is>
          <t>NHL-T2010</t>
        </is>
      </c>
      <c r="D432" s="8" t="inlineStr">
        <is>
          <t>Operator and maintenance training - Hail</t>
        </is>
      </c>
      <c r="E432" s="8" t="inlineStr">
        <is>
          <t>COM.NHL.TRN</t>
        </is>
      </c>
      <c r="F432" s="8" t="inlineStr">
        <is>
          <t>Commissioning and handover</t>
        </is>
      </c>
      <c r="G432" s="8" t="inlineStr">
        <is>
          <t>NHL</t>
        </is>
      </c>
      <c r="H432" s="8" t="inlineStr">
        <is>
          <t>MS7</t>
        </is>
      </c>
      <c r="I432" s="16" t="n">
        <v>0.1</v>
      </c>
      <c r="J432" s="10">
        <f>Station_BOQ!R16</f>
        <v/>
      </c>
      <c r="K432" s="9">
        <f>I432*62000000*J432</f>
        <v/>
      </c>
      <c r="L432" s="18" t="n">
        <v>0.15</v>
      </c>
      <c r="M432" s="9">
        <f>ROUND(K432*L432,0)</f>
        <v/>
      </c>
      <c r="N432" s="9" t="n">
        <v>50984</v>
      </c>
      <c r="O432" s="9">
        <f>N432-M432</f>
        <v/>
      </c>
      <c r="P432" s="8" t="inlineStr">
        <is>
          <t>MS7 Final acceptance and handover 10% x station price share 5.48% | Fixed key 15%</t>
        </is>
      </c>
      <c r="Q432" s="8" t="inlineStr">
        <is>
          <t>Annex 3 Training (railway), allocated by hardware share</t>
        </is>
      </c>
      <c r="R432" s="9" t="n">
        <v>105</v>
      </c>
      <c r="S432" s="19">
        <f>R432/1000</f>
        <v/>
      </c>
      <c r="T432" s="20" t="n">
        <v>47174</v>
      </c>
      <c r="U432" s="20" t="n">
        <v>47185</v>
      </c>
      <c r="V432" s="8" t="n">
        <v>10</v>
      </c>
    </row>
    <row r="433">
      <c r="A433" s="8" t="inlineStr">
        <is>
          <t>A1-A5</t>
        </is>
      </c>
      <c r="B433" s="8" t="inlineStr">
        <is>
          <t>A1 to A5 equipment sections: trial operation share</t>
        </is>
      </c>
      <c r="C433" s="8" t="inlineStr">
        <is>
          <t>NHL-T2020</t>
        </is>
      </c>
      <c r="D433" s="8" t="inlineStr">
        <is>
          <t>Trial operation (maximum 45 days) - Hail</t>
        </is>
      </c>
      <c r="E433" s="8" t="inlineStr">
        <is>
          <t>COM.NHL.TOA</t>
        </is>
      </c>
      <c r="F433" s="8" t="inlineStr">
        <is>
          <t>Commissioning and handover</t>
        </is>
      </c>
      <c r="G433" s="8" t="inlineStr">
        <is>
          <t>NHL</t>
        </is>
      </c>
      <c r="H433" s="8" t="inlineStr">
        <is>
          <t>MS7</t>
        </is>
      </c>
      <c r="I433" s="16" t="n">
        <v>0.1</v>
      </c>
      <c r="J433" s="10">
        <f>Station_BOQ!R16</f>
        <v/>
      </c>
      <c r="K433" s="9">
        <f>I433*62000000*J433</f>
        <v/>
      </c>
      <c r="L433" s="18" t="n">
        <v>0.35</v>
      </c>
      <c r="M433" s="9">
        <f>ROUND(K433*L433,0)</f>
        <v/>
      </c>
      <c r="N433" s="9" t="n">
        <v>118962</v>
      </c>
      <c r="O433" s="9">
        <f>N433-M433</f>
        <v/>
      </c>
      <c r="P433" s="8" t="inlineStr">
        <is>
          <t>MS7 Final acceptance and handover 10% x station price share 5.48% | Fixed key 35%</t>
        </is>
      </c>
      <c r="Q433" s="8" t="inlineStr">
        <is>
          <t>Annex 3 equipment sections A1-A5 (trial operation share)</t>
        </is>
      </c>
      <c r="R433" s="9" t="n">
        <v>158</v>
      </c>
      <c r="S433" s="19">
        <f>R433/1000</f>
        <v/>
      </c>
      <c r="T433" s="20" t="n">
        <v>47174</v>
      </c>
      <c r="U433" s="20" t="n">
        <v>47213</v>
      </c>
      <c r="V433" s="8" t="n">
        <v>30</v>
      </c>
    </row>
    <row r="434">
      <c r="A434" s="8" t="inlineStr">
        <is>
          <t>A1-A5</t>
        </is>
      </c>
      <c r="B434" s="8" t="inlineStr">
        <is>
          <t>A1 to A5 equipment sections: handover share</t>
        </is>
      </c>
      <c r="C434" s="8" t="inlineStr">
        <is>
          <t>NHL-T3010</t>
        </is>
      </c>
      <c r="D434" s="8" t="inlineStr">
        <is>
          <t>Taking-over application, SAR review and handover - Hail</t>
        </is>
      </c>
      <c r="E434" s="8" t="inlineStr">
        <is>
          <t>COM.NHL.TOA</t>
        </is>
      </c>
      <c r="F434" s="8" t="inlineStr">
        <is>
          <t>Commissioning and handover</t>
        </is>
      </c>
      <c r="G434" s="8" t="inlineStr">
        <is>
          <t>NHL</t>
        </is>
      </c>
      <c r="H434" s="8" t="inlineStr">
        <is>
          <t>MS7</t>
        </is>
      </c>
      <c r="I434" s="16" t="n">
        <v>0.1</v>
      </c>
      <c r="J434" s="10">
        <f>Station_BOQ!R16</f>
        <v/>
      </c>
      <c r="K434" s="9">
        <f>I434*62000000*J434</f>
        <v/>
      </c>
      <c r="L434" s="18" t="n">
        <v>0.3</v>
      </c>
      <c r="M434" s="9">
        <f>ROUND(K434*L434,0)</f>
        <v/>
      </c>
      <c r="N434" s="9" t="n">
        <v>101967</v>
      </c>
      <c r="O434" s="9">
        <f>N434-M434</f>
        <v/>
      </c>
      <c r="P434" s="8" t="inlineStr">
        <is>
          <t>MS7 Final acceptance and handover 10% x station price share 5.48% | Fixed key 30%</t>
        </is>
      </c>
      <c r="Q434" s="8" t="inlineStr">
        <is>
          <t>Annex 3 equipment sections A1-A5 (handover share)</t>
        </is>
      </c>
      <c r="R434" s="9" t="n">
        <v>158</v>
      </c>
      <c r="S434" s="19">
        <f>R434/1000</f>
        <v/>
      </c>
      <c r="T434" s="20" t="n">
        <v>47216</v>
      </c>
      <c r="U434" s="20" t="n">
        <v>47252</v>
      </c>
      <c r="V434" s="8" t="n">
        <v>22</v>
      </c>
    </row>
    <row r="435">
      <c r="A435" s="8" t="inlineStr">
        <is>
          <t>SH-DES</t>
        </is>
      </c>
      <c r="B435" s="8" t="inlineStr">
        <is>
          <t>Design and engineering package (per railway, allocated to the station)</t>
        </is>
      </c>
      <c r="C435" s="8" t="inlineStr">
        <is>
          <t>NJF-E1010</t>
        </is>
      </c>
      <c r="D435" s="8" t="inlineStr">
        <is>
          <t>Survey: submittal of site survey and as-found report - Al Jouf</t>
        </is>
      </c>
      <c r="E435" s="8" t="inlineStr">
        <is>
          <t>ENG.NJF.SRV.SUB</t>
        </is>
      </c>
      <c r="F435" s="8" t="inlineStr">
        <is>
          <t>Engineering</t>
        </is>
      </c>
      <c r="G435" s="8" t="inlineStr">
        <is>
          <t>NJF</t>
        </is>
      </c>
      <c r="H435" s="8" t="inlineStr">
        <is>
          <t>MS2</t>
        </is>
      </c>
      <c r="I435" s="16" t="n">
        <v>0.1</v>
      </c>
      <c r="J435" s="10">
        <f>Station_BOQ!R17</f>
        <v/>
      </c>
      <c r="K435" s="9">
        <f>I435*62000000*J435</f>
        <v/>
      </c>
      <c r="L435" s="18" t="n">
        <v>0.06900000000000001</v>
      </c>
      <c r="M435" s="9">
        <f>ROUND(K435*L435,0)</f>
        <v/>
      </c>
      <c r="N435" s="9" t="n">
        <v>23618</v>
      </c>
      <c r="O435" s="9">
        <f>N435-M435</f>
        <v/>
      </c>
      <c r="P435" s="8" t="inlineStr">
        <is>
          <t>MS2 Engineering submittal 10% x station price share 5.52% | Design stage key 6.9% of the engineering-submittal milestone</t>
        </is>
      </c>
      <c r="Q435" s="8" t="inlineStr">
        <is>
          <t>Annex 3 Design and engineering package (railway) allocated by station hardware share</t>
        </is>
      </c>
      <c r="R435" s="9" t="n">
        <v>30</v>
      </c>
      <c r="S435" s="19">
        <f>R435/1000</f>
        <v/>
      </c>
      <c r="T435" s="20" t="n">
        <v>46922</v>
      </c>
      <c r="U435" s="20" t="n">
        <v>46931</v>
      </c>
      <c r="V435" s="8" t="n">
        <v>8</v>
      </c>
    </row>
    <row r="436">
      <c r="A436" s="8" t="inlineStr">
        <is>
          <t>SH-DES</t>
        </is>
      </c>
      <c r="B436" s="8" t="inlineStr">
        <is>
          <t>Design and engineering package (per railway, allocated to the station)</t>
        </is>
      </c>
      <c r="C436" s="8" t="inlineStr">
        <is>
          <t>NJF-E1020</t>
        </is>
      </c>
      <c r="D436" s="8" t="inlineStr">
        <is>
          <t>Survey: SAR approval of survey report - Al Jouf</t>
        </is>
      </c>
      <c r="E436" s="8" t="inlineStr">
        <is>
          <t>ENG.NJF.SRV.APR</t>
        </is>
      </c>
      <c r="F436" s="8" t="inlineStr">
        <is>
          <t>Engineering</t>
        </is>
      </c>
      <c r="G436" s="8" t="inlineStr">
        <is>
          <t>NJF</t>
        </is>
      </c>
      <c r="H436" s="8" t="inlineStr">
        <is>
          <t>MS3</t>
        </is>
      </c>
      <c r="I436" s="16" t="n">
        <v>0.1</v>
      </c>
      <c r="J436" s="10">
        <f>Station_BOQ!R17</f>
        <v/>
      </c>
      <c r="K436" s="9">
        <f>I436*62000000*J436</f>
        <v/>
      </c>
      <c r="L436" s="18" t="n">
        <v>0.05</v>
      </c>
      <c r="M436" s="9">
        <f>ROUND(K436*L436,0)</f>
        <v/>
      </c>
      <c r="N436" s="9" t="n">
        <v>17114</v>
      </c>
      <c r="O436" s="9">
        <f>N436-M436</f>
        <v/>
      </c>
      <c r="P436" s="8" t="inlineStr">
        <is>
          <t>MS3 SAR approval of engineering 10% x station price share 5.52% | Design stage key 5.0% of the SAR-approval milestone</t>
        </is>
      </c>
      <c r="Q436" s="8" t="inlineStr">
        <is>
          <t>Annex 3 Design and engineering package (railway) allocated by station hardware share</t>
        </is>
      </c>
      <c r="R436" s="9" t="n">
        <v>33</v>
      </c>
      <c r="S436" s="19">
        <f>R436/1000</f>
        <v/>
      </c>
      <c r="T436" s="20" t="n">
        <v>46932</v>
      </c>
      <c r="U436" s="20" t="n">
        <v>46952</v>
      </c>
      <c r="V436" s="8" t="n">
        <v>15</v>
      </c>
    </row>
    <row r="437">
      <c r="A437" s="8" t="inlineStr">
        <is>
          <t>SH-DES</t>
        </is>
      </c>
      <c r="B437" s="8" t="inlineStr">
        <is>
          <t>Design and engineering package (per railway, allocated to the station)</t>
        </is>
      </c>
      <c r="C437" s="8" t="inlineStr">
        <is>
          <t>NJF-E1030</t>
        </is>
      </c>
      <c r="D437" s="8" t="inlineStr">
        <is>
          <t>Concept design: submittal - Al Jouf</t>
        </is>
      </c>
      <c r="E437" s="8" t="inlineStr">
        <is>
          <t>ENG.NJF.CNC.SUB</t>
        </is>
      </c>
      <c r="F437" s="8" t="inlineStr">
        <is>
          <t>Engineering</t>
        </is>
      </c>
      <c r="G437" s="8" t="inlineStr">
        <is>
          <t>NJF</t>
        </is>
      </c>
      <c r="H437" s="8" t="inlineStr">
        <is>
          <t>MS2</t>
        </is>
      </c>
      <c r="I437" s="16" t="n">
        <v>0.1</v>
      </c>
      <c r="J437" s="10">
        <f>Station_BOQ!R17</f>
        <v/>
      </c>
      <c r="K437" s="9">
        <f>I437*62000000*J437</f>
        <v/>
      </c>
      <c r="L437" s="18" t="n">
        <v>0.098</v>
      </c>
      <c r="M437" s="9">
        <f>ROUND(K437*L437,0)</f>
        <v/>
      </c>
      <c r="N437" s="9" t="n">
        <v>33544</v>
      </c>
      <c r="O437" s="9">
        <f>N437-M437</f>
        <v/>
      </c>
      <c r="P437" s="8" t="inlineStr">
        <is>
          <t>MS2 Engineering submittal 10% x station price share 5.52% | Design stage key 9.8% of the engineering-submittal milestone</t>
        </is>
      </c>
      <c r="Q437" s="8" t="inlineStr">
        <is>
          <t>Annex 3 Design and engineering package (railway) allocated by station hardware share</t>
        </is>
      </c>
      <c r="R437" s="9" t="n">
        <v>25</v>
      </c>
      <c r="S437" s="19">
        <f>R437/1000</f>
        <v/>
      </c>
      <c r="T437" s="20" t="n">
        <v>46932</v>
      </c>
      <c r="U437" s="20" t="n">
        <v>46945</v>
      </c>
      <c r="V437" s="8" t="n">
        <v>10</v>
      </c>
    </row>
    <row r="438">
      <c r="A438" s="8" t="inlineStr">
        <is>
          <t>SH-DES</t>
        </is>
      </c>
      <c r="B438" s="8" t="inlineStr">
        <is>
          <t>Design and engineering package (per railway, allocated to the station)</t>
        </is>
      </c>
      <c r="C438" s="8" t="inlineStr">
        <is>
          <t>NJF-E1040</t>
        </is>
      </c>
      <c r="D438" s="8" t="inlineStr">
        <is>
          <t>Concept design: SAR review and approval - Al Jouf</t>
        </is>
      </c>
      <c r="E438" s="8" t="inlineStr">
        <is>
          <t>ENG.NJF.CNC.APR</t>
        </is>
      </c>
      <c r="F438" s="8" t="inlineStr">
        <is>
          <t>Engineering</t>
        </is>
      </c>
      <c r="G438" s="8" t="inlineStr">
        <is>
          <t>NJF</t>
        </is>
      </c>
      <c r="H438" s="8" t="inlineStr">
        <is>
          <t>MS3</t>
        </is>
      </c>
      <c r="I438" s="16" t="n">
        <v>0.1</v>
      </c>
      <c r="J438" s="10">
        <f>Station_BOQ!R17</f>
        <v/>
      </c>
      <c r="K438" s="9">
        <f>I438*62000000*J438</f>
        <v/>
      </c>
      <c r="L438" s="18" t="n">
        <v>0.1</v>
      </c>
      <c r="M438" s="9">
        <f>ROUND(K438*L438,0)</f>
        <v/>
      </c>
      <c r="N438" s="9" t="n">
        <v>34228</v>
      </c>
      <c r="O438" s="9">
        <f>N438-M438</f>
        <v/>
      </c>
      <c r="P438" s="8" t="inlineStr">
        <is>
          <t>MS3 SAR approval of engineering 10% x station price share 5.52% | Design stage key 10.0% of the SAR-approval milestone</t>
        </is>
      </c>
      <c r="Q438" s="8" t="inlineStr">
        <is>
          <t>Annex 3 Design and engineering package (railway) allocated by station hardware share</t>
        </is>
      </c>
      <c r="R438" s="9" t="n">
        <v>37</v>
      </c>
      <c r="S438" s="19">
        <f>R438/1000</f>
        <v/>
      </c>
      <c r="T438" s="20" t="n">
        <v>46946</v>
      </c>
      <c r="U438" s="20" t="n">
        <v>46966</v>
      </c>
      <c r="V438" s="8" t="n">
        <v>15</v>
      </c>
    </row>
    <row r="439">
      <c r="A439" s="8" t="inlineStr">
        <is>
          <t>SH-DES</t>
        </is>
      </c>
      <c r="B439" s="8" t="inlineStr">
        <is>
          <t>Design and engineering package (per railway, allocated to the station)</t>
        </is>
      </c>
      <c r="C439" s="8" t="inlineStr">
        <is>
          <t>NJF-E1050</t>
        </is>
      </c>
      <c r="D439" s="8" t="inlineStr">
        <is>
          <t>Preliminary design: submittal - Al Jouf</t>
        </is>
      </c>
      <c r="E439" s="8" t="inlineStr">
        <is>
          <t>ENG.NJF.PRE.SUB</t>
        </is>
      </c>
      <c r="F439" s="8" t="inlineStr">
        <is>
          <t>Engineering</t>
        </is>
      </c>
      <c r="G439" s="8" t="inlineStr">
        <is>
          <t>NJF</t>
        </is>
      </c>
      <c r="H439" s="8" t="inlineStr">
        <is>
          <t>MS2</t>
        </is>
      </c>
      <c r="I439" s="16" t="n">
        <v>0.1</v>
      </c>
      <c r="J439" s="10">
        <f>Station_BOQ!R17</f>
        <v/>
      </c>
      <c r="K439" s="9">
        <f>I439*62000000*J439</f>
        <v/>
      </c>
      <c r="L439" s="18" t="n">
        <v>0.196</v>
      </c>
      <c r="M439" s="9">
        <f>ROUND(K439*L439,0)</f>
        <v/>
      </c>
      <c r="N439" s="9" t="n">
        <v>67088</v>
      </c>
      <c r="O439" s="9">
        <f>N439-M439</f>
        <v/>
      </c>
      <c r="P439" s="8" t="inlineStr">
        <is>
          <t>MS2 Engineering submittal 10% x station price share 5.52% | Design stage key 19.6% of the engineering-submittal milestone</t>
        </is>
      </c>
      <c r="Q439" s="8" t="inlineStr">
        <is>
          <t>Annex 3 Design and engineering package (railway) allocated by station hardware share</t>
        </is>
      </c>
      <c r="R439" s="9" t="n">
        <v>58</v>
      </c>
      <c r="S439" s="19">
        <f>R439/1000</f>
        <v/>
      </c>
      <c r="T439" s="20" t="n">
        <v>46946</v>
      </c>
      <c r="U439" s="20" t="n">
        <v>46967</v>
      </c>
      <c r="V439" s="8" t="n">
        <v>16</v>
      </c>
    </row>
    <row r="440">
      <c r="A440" s="8" t="inlineStr">
        <is>
          <t>SH-DES</t>
        </is>
      </c>
      <c r="B440" s="8" t="inlineStr">
        <is>
          <t>Design and engineering package (per railway, allocated to the station)</t>
        </is>
      </c>
      <c r="C440" s="8" t="inlineStr">
        <is>
          <t>NJF-E1060</t>
        </is>
      </c>
      <c r="D440" s="8" t="inlineStr">
        <is>
          <t>Preliminary design: SAR review and approval - Al Jouf</t>
        </is>
      </c>
      <c r="E440" s="8" t="inlineStr">
        <is>
          <t>ENG.NJF.PRE.APR</t>
        </is>
      </c>
      <c r="F440" s="8" t="inlineStr">
        <is>
          <t>Engineering</t>
        </is>
      </c>
      <c r="G440" s="8" t="inlineStr">
        <is>
          <t>NJF</t>
        </is>
      </c>
      <c r="H440" s="8" t="inlineStr">
        <is>
          <t>MS3</t>
        </is>
      </c>
      <c r="I440" s="16" t="n">
        <v>0.1</v>
      </c>
      <c r="J440" s="10">
        <f>Station_BOQ!R17</f>
        <v/>
      </c>
      <c r="K440" s="9">
        <f>I440*62000000*J440</f>
        <v/>
      </c>
      <c r="L440" s="18" t="n">
        <v>0.2</v>
      </c>
      <c r="M440" s="9">
        <f>ROUND(K440*L440,0)</f>
        <v/>
      </c>
      <c r="N440" s="9" t="n">
        <v>68457</v>
      </c>
      <c r="O440" s="9">
        <f>N440-M440</f>
        <v/>
      </c>
      <c r="P440" s="8" t="inlineStr">
        <is>
          <t>MS3 SAR approval of engineering 10% x station price share 5.52% | Design stage key 20.0% of the SAR-approval milestone</t>
        </is>
      </c>
      <c r="Q440" s="8" t="inlineStr">
        <is>
          <t>Annex 3 Design and engineering package (railway) allocated by station hardware share</t>
        </is>
      </c>
      <c r="R440" s="9" t="n">
        <v>54</v>
      </c>
      <c r="S440" s="19">
        <f>R440/1000</f>
        <v/>
      </c>
      <c r="T440" s="20" t="n">
        <v>46968</v>
      </c>
      <c r="U440" s="20" t="n">
        <v>46988</v>
      </c>
      <c r="V440" s="8" t="n">
        <v>15</v>
      </c>
    </row>
    <row r="441">
      <c r="A441" s="8" t="inlineStr">
        <is>
          <t>SH-DES</t>
        </is>
      </c>
      <c r="B441" s="8" t="inlineStr">
        <is>
          <t>Design and engineering package (per railway, allocated to the station)</t>
        </is>
      </c>
      <c r="C441" s="8" t="inlineStr">
        <is>
          <t>NJF-E1070</t>
        </is>
      </c>
      <c r="D441" s="8" t="inlineStr">
        <is>
          <t>Detailed design: submittal (drawings, BOQ, data sheets) - Al Jouf</t>
        </is>
      </c>
      <c r="E441" s="8" t="inlineStr">
        <is>
          <t>ENG.NJF.DET.SUB</t>
        </is>
      </c>
      <c r="F441" s="8" t="inlineStr">
        <is>
          <t>Engineering</t>
        </is>
      </c>
      <c r="G441" s="8" t="inlineStr">
        <is>
          <t>NJF</t>
        </is>
      </c>
      <c r="H441" s="8" t="inlineStr">
        <is>
          <t>MS2</t>
        </is>
      </c>
      <c r="I441" s="16" t="n">
        <v>0.1</v>
      </c>
      <c r="J441" s="10">
        <f>Station_BOQ!R17</f>
        <v/>
      </c>
      <c r="K441" s="9">
        <f>I441*62000000*J441</f>
        <v/>
      </c>
      <c r="L441" s="18" t="n">
        <v>0.392</v>
      </c>
      <c r="M441" s="9">
        <f>ROUND(K441*L441,0)</f>
        <v/>
      </c>
      <c r="N441" s="9" t="n">
        <v>134176</v>
      </c>
      <c r="O441" s="9">
        <f>N441-M441</f>
        <v/>
      </c>
      <c r="P441" s="8" t="inlineStr">
        <is>
          <t>MS2 Engineering submittal 10% x station price share 5.52% | Design stage key 39.2% of the engineering-submittal milestone</t>
        </is>
      </c>
      <c r="Q441" s="8" t="inlineStr">
        <is>
          <t>Annex 3 Design and engineering package (railway) allocated by station hardware share</t>
        </is>
      </c>
      <c r="R441" s="9" t="n">
        <v>119</v>
      </c>
      <c r="S441" s="19">
        <f>R441/1000</f>
        <v/>
      </c>
      <c r="T441" s="20" t="n">
        <v>46968</v>
      </c>
      <c r="U441" s="20" t="n">
        <v>47003</v>
      </c>
      <c r="V441" s="8" t="n">
        <v>26</v>
      </c>
    </row>
    <row r="442">
      <c r="A442" s="8" t="inlineStr">
        <is>
          <t>SH-DES</t>
        </is>
      </c>
      <c r="B442" s="8" t="inlineStr">
        <is>
          <t>Design and engineering package (per railway, allocated to the station)</t>
        </is>
      </c>
      <c r="C442" s="8" t="inlineStr">
        <is>
          <t>NJF-E1080</t>
        </is>
      </c>
      <c r="D442" s="8" t="inlineStr">
        <is>
          <t>Detailed design: SAR review and approval - Al Jouf</t>
        </is>
      </c>
      <c r="E442" s="8" t="inlineStr">
        <is>
          <t>ENG.NJF.DET.APR</t>
        </is>
      </c>
      <c r="F442" s="8" t="inlineStr">
        <is>
          <t>Engineering</t>
        </is>
      </c>
      <c r="G442" s="8" t="inlineStr">
        <is>
          <t>NJF</t>
        </is>
      </c>
      <c r="H442" s="8" t="inlineStr">
        <is>
          <t>MS3</t>
        </is>
      </c>
      <c r="I442" s="16" t="n">
        <v>0.1</v>
      </c>
      <c r="J442" s="10">
        <f>Station_BOQ!R17</f>
        <v/>
      </c>
      <c r="K442" s="9">
        <f>I442*62000000*J442</f>
        <v/>
      </c>
      <c r="L442" s="18" t="n">
        <v>0.4</v>
      </c>
      <c r="M442" s="9">
        <f>ROUND(K442*L442,0)</f>
        <v/>
      </c>
      <c r="N442" s="9" t="n">
        <v>136914</v>
      </c>
      <c r="O442" s="9">
        <f>N442-M442</f>
        <v/>
      </c>
      <c r="P442" s="8" t="inlineStr">
        <is>
          <t>MS3 SAR approval of engineering 10% x station price share 5.52% | Design stage key 40.0% of the SAR-approval milestone</t>
        </is>
      </c>
      <c r="Q442" s="8" t="inlineStr">
        <is>
          <t>Annex 3 Design and engineering package (railway) allocated by station hardware share</t>
        </is>
      </c>
      <c r="R442" s="9" t="n">
        <v>68</v>
      </c>
      <c r="S442" s="19">
        <f>R442/1000</f>
        <v/>
      </c>
      <c r="T442" s="20" t="n">
        <v>47006</v>
      </c>
      <c r="U442" s="20" t="n">
        <v>47024</v>
      </c>
      <c r="V442" s="8" t="n">
        <v>15</v>
      </c>
    </row>
    <row r="443">
      <c r="A443" s="8" t="inlineStr">
        <is>
          <t>SH-DES</t>
        </is>
      </c>
      <c r="B443" s="8" t="inlineStr">
        <is>
          <t>Design and engineering package (per railway, allocated to the station)</t>
        </is>
      </c>
      <c r="C443" s="8" t="inlineStr">
        <is>
          <t>NJF-E1090</t>
        </is>
      </c>
      <c r="D443" s="8" t="inlineStr">
        <is>
          <t>IFC and shop drawings: submittal - Al Jouf</t>
        </is>
      </c>
      <c r="E443" s="8" t="inlineStr">
        <is>
          <t>ENG.NJF.IFC.SUB</t>
        </is>
      </c>
      <c r="F443" s="8" t="inlineStr">
        <is>
          <t>Engineering</t>
        </is>
      </c>
      <c r="G443" s="8" t="inlineStr">
        <is>
          <t>NJF</t>
        </is>
      </c>
      <c r="H443" s="8" t="inlineStr">
        <is>
          <t>MS2</t>
        </is>
      </c>
      <c r="I443" s="16" t="n">
        <v>0.1</v>
      </c>
      <c r="J443" s="10">
        <f>Station_BOQ!R17</f>
        <v/>
      </c>
      <c r="K443" s="9">
        <f>I443*62000000*J443</f>
        <v/>
      </c>
      <c r="L443" s="18" t="n">
        <v>0.196</v>
      </c>
      <c r="M443" s="9">
        <f>ROUND(K443*L443,0)</f>
        <v/>
      </c>
      <c r="N443" s="9" t="n">
        <v>67088</v>
      </c>
      <c r="O443" s="9">
        <f>N443-M443</f>
        <v/>
      </c>
      <c r="P443" s="8" t="inlineStr">
        <is>
          <t>MS2 Engineering submittal 10% x station price share 5.52% | Design stage key 19.6% of the engineering-submittal milestone</t>
        </is>
      </c>
      <c r="Q443" s="8" t="inlineStr">
        <is>
          <t>Annex 3 Design and engineering package (railway) allocated by station hardware share</t>
        </is>
      </c>
      <c r="R443" s="9" t="n">
        <v>52</v>
      </c>
      <c r="S443" s="19">
        <f>R443/1000</f>
        <v/>
      </c>
      <c r="T443" s="20" t="n">
        <v>47006</v>
      </c>
      <c r="U443" s="20" t="n">
        <v>47022</v>
      </c>
      <c r="V443" s="8" t="n">
        <v>13</v>
      </c>
    </row>
    <row r="444">
      <c r="A444" s="8" t="inlineStr">
        <is>
          <t>SH-DES</t>
        </is>
      </c>
      <c r="B444" s="8" t="inlineStr">
        <is>
          <t>Design and engineering package (per railway, allocated to the station)</t>
        </is>
      </c>
      <c r="C444" s="8" t="inlineStr">
        <is>
          <t>NJF-E1100</t>
        </is>
      </c>
      <c r="D444" s="8" t="inlineStr">
        <is>
          <t>IFC and shop drawings: SAR approval and release - Al Jouf</t>
        </is>
      </c>
      <c r="E444" s="8" t="inlineStr">
        <is>
          <t>ENG.NJF.IFC.APR</t>
        </is>
      </c>
      <c r="F444" s="8" t="inlineStr">
        <is>
          <t>Engineering</t>
        </is>
      </c>
      <c r="G444" s="8" t="inlineStr">
        <is>
          <t>NJF</t>
        </is>
      </c>
      <c r="H444" s="8" t="inlineStr">
        <is>
          <t>MS3</t>
        </is>
      </c>
      <c r="I444" s="16" t="n">
        <v>0.1</v>
      </c>
      <c r="J444" s="10">
        <f>Station_BOQ!R17</f>
        <v/>
      </c>
      <c r="K444" s="9">
        <f>I444*62000000*J444</f>
        <v/>
      </c>
      <c r="L444" s="18" t="n">
        <v>0.2</v>
      </c>
      <c r="M444" s="9">
        <f>ROUND(K444*L444,0)</f>
        <v/>
      </c>
      <c r="N444" s="9" t="n">
        <v>68457</v>
      </c>
      <c r="O444" s="9">
        <f>N444-M444</f>
        <v/>
      </c>
      <c r="P444" s="8" t="inlineStr">
        <is>
          <t>MS3 SAR approval of engineering 10% x station price share 5.52% | Design stage key 20.0% of the SAR-approval milestone</t>
        </is>
      </c>
      <c r="Q444" s="8" t="inlineStr">
        <is>
          <t>Annex 3 Design and engineering package (railway) allocated by station hardware share</t>
        </is>
      </c>
      <c r="R444" s="9" t="n">
        <v>60</v>
      </c>
      <c r="S444" s="19">
        <f>R444/1000</f>
        <v/>
      </c>
      <c r="T444" s="20" t="n">
        <v>47023</v>
      </c>
      <c r="U444" s="20" t="n">
        <v>47043</v>
      </c>
      <c r="V444" s="8" t="n">
        <v>15</v>
      </c>
    </row>
    <row r="445">
      <c r="A445" s="8" t="inlineStr">
        <is>
          <t>SH-DES</t>
        </is>
      </c>
      <c r="B445" s="8" t="inlineStr">
        <is>
          <t>Design and engineering package (per railway, allocated to the station)</t>
        </is>
      </c>
      <c r="C445" s="8" t="inlineStr">
        <is>
          <t>NJF-E1110</t>
        </is>
      </c>
      <c r="D445" s="8" t="inlineStr">
        <is>
          <t>HCIS Stage 3 and 4 documents: preparation - Al Jouf</t>
        </is>
      </c>
      <c r="E445" s="8" t="inlineStr">
        <is>
          <t>ENG.NJF.HCS.SUB</t>
        </is>
      </c>
      <c r="F445" s="8" t="inlineStr">
        <is>
          <t>Engineering</t>
        </is>
      </c>
      <c r="G445" s="8" t="inlineStr">
        <is>
          <t>NJF</t>
        </is>
      </c>
      <c r="H445" s="8" t="inlineStr">
        <is>
          <t>MS2</t>
        </is>
      </c>
      <c r="I445" s="16" t="n">
        <v>0.1</v>
      </c>
      <c r="J445" s="10">
        <f>Station_BOQ!R17</f>
        <v/>
      </c>
      <c r="K445" s="9">
        <f>I445*62000000*J445</f>
        <v/>
      </c>
      <c r="L445" s="18" t="n">
        <v>0.049</v>
      </c>
      <c r="M445" s="9">
        <f>ROUND(K445*L445,0)</f>
        <v/>
      </c>
      <c r="N445" s="9" t="n">
        <v>16772</v>
      </c>
      <c r="O445" s="9">
        <f>N445-M445</f>
        <v/>
      </c>
      <c r="P445" s="8" t="inlineStr">
        <is>
          <t>MS2 Engineering submittal 10% x station price share 5.52% | Design stage key 4.9% of the engineering-submittal milestone</t>
        </is>
      </c>
      <c r="Q445" s="8" t="inlineStr">
        <is>
          <t>Annex 3 Design and engineering package (railway) allocated by station hardware share</t>
        </is>
      </c>
      <c r="R445" s="9" t="n">
        <v>25</v>
      </c>
      <c r="S445" s="19">
        <f>R445/1000</f>
        <v/>
      </c>
      <c r="T445" s="20" t="n">
        <v>46982</v>
      </c>
      <c r="U445" s="20" t="n">
        <v>47022</v>
      </c>
      <c r="V445" s="8" t="n">
        <v>29</v>
      </c>
    </row>
    <row r="446">
      <c r="A446" s="8" t="inlineStr">
        <is>
          <t>SH-DES</t>
        </is>
      </c>
      <c r="B446" s="8" t="inlineStr">
        <is>
          <t>Design and engineering package (per railway, allocated to the station)</t>
        </is>
      </c>
      <c r="C446" s="8" t="inlineStr">
        <is>
          <t>NJF-E1120</t>
        </is>
      </c>
      <c r="D446" s="8" t="inlineStr">
        <is>
          <t>HCIS Stage 3 and 4 documents: SAR final review and HCIS submission - Al Jouf</t>
        </is>
      </c>
      <c r="E446" s="8" t="inlineStr">
        <is>
          <t>ENG.NJF.HCS.APR</t>
        </is>
      </c>
      <c r="F446" s="8" t="inlineStr">
        <is>
          <t>Engineering</t>
        </is>
      </c>
      <c r="G446" s="8" t="inlineStr">
        <is>
          <t>NJF</t>
        </is>
      </c>
      <c r="H446" s="8" t="inlineStr">
        <is>
          <t>MS3</t>
        </is>
      </c>
      <c r="I446" s="16" t="n">
        <v>0.1</v>
      </c>
      <c r="J446" s="10">
        <f>Station_BOQ!R17</f>
        <v/>
      </c>
      <c r="K446" s="9">
        <f>I446*62000000*J446</f>
        <v/>
      </c>
      <c r="L446" s="18" t="n">
        <v>0.05</v>
      </c>
      <c r="M446" s="9">
        <f>ROUND(K446*L446,0)</f>
        <v/>
      </c>
      <c r="N446" s="9" t="n">
        <v>17114</v>
      </c>
      <c r="O446" s="9">
        <f>N446-M446</f>
        <v/>
      </c>
      <c r="P446" s="8" t="inlineStr">
        <is>
          <t>MS3 SAR approval of engineering 10% x station price share 5.52% | Design stage key 5.0% of the SAR-approval milestone</t>
        </is>
      </c>
      <c r="Q446" s="8" t="inlineStr">
        <is>
          <t>Annex 3 Design and engineering package (railway) allocated by station hardware share</t>
        </is>
      </c>
      <c r="R446" s="9" t="n">
        <v>13</v>
      </c>
      <c r="S446" s="19">
        <f>R446/1000</f>
        <v/>
      </c>
      <c r="T446" s="20" t="n">
        <v>47023</v>
      </c>
      <c r="U446" s="20" t="n">
        <v>47043</v>
      </c>
      <c r="V446" s="8" t="n">
        <v>15</v>
      </c>
    </row>
    <row r="447">
      <c r="A447" s="8" t="inlineStr">
        <is>
          <t>SH-DES, SH-TRN</t>
        </is>
      </c>
      <c r="B447" s="8" t="inlineStr">
        <is>
          <t>Design and engineering package (per railway, allocated to the station) and Training (per railway, allocated): documentation and training share</t>
        </is>
      </c>
      <c r="C447" s="8" t="inlineStr">
        <is>
          <t>NJF-E1130</t>
        </is>
      </c>
      <c r="D447" s="8" t="inlineStr">
        <is>
          <t>As-built and O&amp;M documentation: submittal - Al Jouf</t>
        </is>
      </c>
      <c r="E447" s="8" t="inlineStr">
        <is>
          <t>ENG.NJF.ASB.SUB</t>
        </is>
      </c>
      <c r="F447" s="8" t="inlineStr">
        <is>
          <t>Engineering</t>
        </is>
      </c>
      <c r="G447" s="8" t="inlineStr">
        <is>
          <t>NJF</t>
        </is>
      </c>
      <c r="H447" s="8" t="inlineStr">
        <is>
          <t>MS7</t>
        </is>
      </c>
      <c r="I447" s="16" t="n">
        <v>0.1</v>
      </c>
      <c r="J447" s="10">
        <f>Station_BOQ!R17</f>
        <v/>
      </c>
      <c r="K447" s="9">
        <f>I447*62000000*J447</f>
        <v/>
      </c>
      <c r="L447" s="18" t="n">
        <v>0.15</v>
      </c>
      <c r="M447" s="9">
        <f>ROUND(K447*L447,0)</f>
        <v/>
      </c>
      <c r="N447" s="9" t="n">
        <v>51343</v>
      </c>
      <c r="O447" s="9">
        <f>N447-M447</f>
        <v/>
      </c>
      <c r="P447" s="8" t="inlineStr">
        <is>
          <t>MS7 Final acceptance and handover 10% x station price share 5.52% | Fixed key 15% of final-acceptance milestone</t>
        </is>
      </c>
      <c r="Q447" s="8" t="inlineStr">
        <is>
          <t>Annex 3 documentation and training share</t>
        </is>
      </c>
      <c r="R447" s="9" t="n">
        <v>41</v>
      </c>
      <c r="S447" s="19">
        <f>R447/1000</f>
        <v/>
      </c>
      <c r="T447" s="20" t="n">
        <v>47239</v>
      </c>
      <c r="U447" s="20" t="n">
        <v>47276</v>
      </c>
      <c r="V447" s="8" t="n">
        <v>28</v>
      </c>
    </row>
    <row r="448">
      <c r="A448" s="8" t="inlineStr">
        <is>
          <t>SH-DES</t>
        </is>
      </c>
      <c r="B448" s="8" t="inlineStr">
        <is>
          <t>Design and engineering package (per railway, allocated to the station): documentation share</t>
        </is>
      </c>
      <c r="C448" s="8" t="inlineStr">
        <is>
          <t>NJF-E1140</t>
        </is>
      </c>
      <c r="D448" s="8" t="inlineStr">
        <is>
          <t>As-built and O&amp;M documentation: SAR review and approval - Al Jouf</t>
        </is>
      </c>
      <c r="E448" s="8" t="inlineStr">
        <is>
          <t>ENG.NJF.ASB.APR</t>
        </is>
      </c>
      <c r="F448" s="8" t="inlineStr">
        <is>
          <t>Engineering</t>
        </is>
      </c>
      <c r="G448" s="8" t="inlineStr">
        <is>
          <t>NJF</t>
        </is>
      </c>
      <c r="H448" s="8" t="inlineStr">
        <is>
          <t>MS7</t>
        </is>
      </c>
      <c r="I448" s="16" t="n">
        <v>0.1</v>
      </c>
      <c r="J448" s="10">
        <f>Station_BOQ!R17</f>
        <v/>
      </c>
      <c r="K448" s="9">
        <f>I448*62000000*J448</f>
        <v/>
      </c>
      <c r="L448" s="18" t="n">
        <v>0.05</v>
      </c>
      <c r="M448" s="9">
        <f>ROUND(K448*L448,0)</f>
        <v/>
      </c>
      <c r="N448" s="9" t="n">
        <v>17114</v>
      </c>
      <c r="O448" s="9">
        <f>N448-M448</f>
        <v/>
      </c>
      <c r="P448" s="8" t="inlineStr">
        <is>
          <t>MS7 Final acceptance and handover 10% x station price share 5.52% | Fixed key 5%</t>
        </is>
      </c>
      <c r="Q448" s="8" t="inlineStr">
        <is>
          <t>Annex 3 documentation share</t>
        </is>
      </c>
      <c r="R448" s="9" t="n">
        <v>22</v>
      </c>
      <c r="S448" s="19">
        <f>R448/1000</f>
        <v/>
      </c>
      <c r="T448" s="20" t="n">
        <v>47279</v>
      </c>
      <c r="U448" s="20" t="n">
        <v>47297</v>
      </c>
      <c r="V448" s="8" t="n">
        <v>15</v>
      </c>
    </row>
    <row r="449">
      <c r="A449" s="8" t="inlineStr">
        <is>
          <t>-</t>
        </is>
      </c>
      <c r="B449" s="8" t="inlineStr">
        <is>
          <t>No BOQ cost: administrative or review step with no payment milestone</t>
        </is>
      </c>
      <c r="C449" s="8" t="inlineStr">
        <is>
          <t>NJF-X1010</t>
        </is>
      </c>
      <c r="D449" s="8" t="inlineStr">
        <is>
          <t>Enabling works: site preparation, setting out, temporary works and utilities clearance - Al Jouf</t>
        </is>
      </c>
      <c r="E449" s="8" t="inlineStr">
        <is>
          <t>CON.NJF.ENA</t>
        </is>
      </c>
      <c r="F449" s="8" t="inlineStr">
        <is>
          <t>Construction</t>
        </is>
      </c>
      <c r="G449" s="8" t="inlineStr">
        <is>
          <t>NJF</t>
        </is>
      </c>
      <c r="H449" s="8" t="inlineStr">
        <is>
          <t>MS5</t>
        </is>
      </c>
      <c r="I449" s="16" t="n">
        <v>0.2</v>
      </c>
      <c r="J449" s="10">
        <f>Station_BOQ!R17</f>
        <v/>
      </c>
      <c r="K449" s="9">
        <f>I449*62000000*J449</f>
        <v/>
      </c>
      <c r="L449" s="18" t="n">
        <v>0.01231720464961291</v>
      </c>
      <c r="M449" s="9">
        <f>ROUND(K449*L449,0)</f>
        <v/>
      </c>
      <c r="N449" s="9" t="n">
        <v>8432</v>
      </c>
      <c r="O449" s="9">
        <f>N449-M449</f>
        <v/>
      </c>
      <c r="P449" s="8" t="inlineStr">
        <is>
          <t>MS5 Installation 20% x station price share 5.52% | BOQ civil share 30.8% x 4% (enabling: site preparation)</t>
        </is>
      </c>
      <c r="Q449" s="8" t="inlineStr">
        <is>
          <t>Annex 3 A6 Civil works (SAR 745,743)</t>
        </is>
      </c>
      <c r="R449" s="9" t="n">
        <v>53</v>
      </c>
      <c r="S449" s="19">
        <f>R449/1000</f>
        <v/>
      </c>
      <c r="T449" s="20" t="n">
        <v>47044</v>
      </c>
      <c r="U449" s="20" t="n">
        <v>47050</v>
      </c>
      <c r="V449" s="8" t="n">
        <v>5</v>
      </c>
    </row>
    <row r="450">
      <c r="A450" s="8" t="inlineStr">
        <is>
          <t>-</t>
        </is>
      </c>
      <c r="B450" s="8" t="inlineStr">
        <is>
          <t>No BOQ cost: administrative or review step with no payment milestone</t>
        </is>
      </c>
      <c r="C450" s="8" t="inlineStr">
        <is>
          <t>NJF-X1020</t>
        </is>
      </c>
      <c r="D450" s="8" t="inlineStr">
        <is>
          <t>Enabling works: cable routes, duct-bank and cabinet plinth preparation - Al Jouf</t>
        </is>
      </c>
      <c r="E450" s="8" t="inlineStr">
        <is>
          <t>CON.NJF.ENA</t>
        </is>
      </c>
      <c r="F450" s="8" t="inlineStr">
        <is>
          <t>Construction</t>
        </is>
      </c>
      <c r="G450" s="8" t="inlineStr">
        <is>
          <t>NJF</t>
        </is>
      </c>
      <c r="H450" s="8" t="inlineStr">
        <is>
          <t>MS5</t>
        </is>
      </c>
      <c r="I450" s="16" t="n">
        <v>0.2</v>
      </c>
      <c r="J450" s="10">
        <f>Station_BOQ!R17</f>
        <v/>
      </c>
      <c r="K450" s="9">
        <f>I450*62000000*J450</f>
        <v/>
      </c>
      <c r="L450" s="18" t="n">
        <v>0.01847580697441937</v>
      </c>
      <c r="M450" s="9">
        <f>ROUND(K450*L450,0)</f>
        <v/>
      </c>
      <c r="N450" s="9" t="n">
        <v>12648</v>
      </c>
      <c r="O450" s="9">
        <f>N450-M450</f>
        <v/>
      </c>
      <c r="P450" s="8" t="inlineStr">
        <is>
          <t>MS5 Installation 20% x station price share 5.52% | BOQ civil share 30.8% x 6% (enabling: routes, ducts, plinths)</t>
        </is>
      </c>
      <c r="Q450" s="8" t="inlineStr">
        <is>
          <t>Annex 3 A6 Civil works (SAR 745,743)</t>
        </is>
      </c>
      <c r="R450" s="9" t="n">
        <v>79</v>
      </c>
      <c r="S450" s="19">
        <f>R450/1000</f>
        <v/>
      </c>
      <c r="T450" s="20" t="n">
        <v>47051</v>
      </c>
      <c r="U450" s="20" t="n">
        <v>47064</v>
      </c>
      <c r="V450" s="8" t="n">
        <v>10</v>
      </c>
    </row>
    <row r="451">
      <c r="A451" s="8" t="inlineStr">
        <is>
          <t>A1</t>
        </is>
      </c>
      <c r="B451" s="8" t="inlineStr">
        <is>
          <t>A1 CCTV system</t>
        </is>
      </c>
      <c r="C451" s="8" t="inlineStr">
        <is>
          <t>NJF-P1010</t>
        </is>
      </c>
      <c r="D451" s="8" t="inlineStr">
        <is>
          <t>Manufacture CCTV cameras and analytics - Al Jouf</t>
        </is>
      </c>
      <c r="E451" s="8" t="inlineStr">
        <is>
          <t>PRO.NJF.CCT</t>
        </is>
      </c>
      <c r="F451" s="8" t="inlineStr">
        <is>
          <t>Procurement</t>
        </is>
      </c>
      <c r="G451" s="8" t="inlineStr">
        <is>
          <t>NJF</t>
        </is>
      </c>
      <c r="H451" s="8" t="inlineStr">
        <is>
          <t>MS4</t>
        </is>
      </c>
      <c r="I451" s="16" t="n">
        <v>0.2</v>
      </c>
      <c r="J451" s="10">
        <f>Station_BOQ!R17</f>
        <v/>
      </c>
      <c r="K451" s="9">
        <f>I451*62000000*J451</f>
        <v/>
      </c>
      <c r="L451" s="18" t="n">
        <v>0.1516910295038931</v>
      </c>
      <c r="M451" s="9">
        <f>ROUND(K451*L451,0)</f>
        <v/>
      </c>
      <c r="N451" s="9" t="n">
        <v>103843</v>
      </c>
      <c r="O451" s="9">
        <f>N451-M451</f>
        <v/>
      </c>
      <c r="P451" s="8" t="inlineStr">
        <is>
          <t>MS4 Material delivery 20% x station price share 5.52% | BOQ section share 20.2% of station equipment x 75% (manufacture)</t>
        </is>
      </c>
      <c r="Q451" s="8" t="inlineStr">
        <is>
          <t>Annex 3 A1 CCTV system (SAR 338,989)</t>
        </is>
      </c>
      <c r="R451" s="9" t="n">
        <v>257</v>
      </c>
      <c r="S451" s="19">
        <f>R451/1000</f>
        <v/>
      </c>
      <c r="T451" s="20" t="n">
        <v>47044</v>
      </c>
      <c r="U451" s="20" t="n">
        <v>47108</v>
      </c>
      <c r="V451" s="8" t="n">
        <v>47</v>
      </c>
    </row>
    <row r="452">
      <c r="A452" s="8" t="inlineStr">
        <is>
          <t>A2</t>
        </is>
      </c>
      <c r="B452" s="8" t="inlineStr">
        <is>
          <t>A2 Video management and video wall</t>
        </is>
      </c>
      <c r="C452" s="8" t="inlineStr">
        <is>
          <t>NJF-P1020</t>
        </is>
      </c>
      <c r="D452" s="8" t="inlineStr">
        <is>
          <t>Manufacture video management servers, storage and video wall - Al Jouf</t>
        </is>
      </c>
      <c r="E452" s="8" t="inlineStr">
        <is>
          <t>PRO.NJF.VMS</t>
        </is>
      </c>
      <c r="F452" s="8" t="inlineStr">
        <is>
          <t>Procurement</t>
        </is>
      </c>
      <c r="G452" s="8" t="inlineStr">
        <is>
          <t>NJF</t>
        </is>
      </c>
      <c r="H452" s="8" t="inlineStr">
        <is>
          <t>MS4</t>
        </is>
      </c>
      <c r="I452" s="16" t="n">
        <v>0.2</v>
      </c>
      <c r="J452" s="10">
        <f>Station_BOQ!R17</f>
        <v/>
      </c>
      <c r="K452" s="9">
        <f>I452*62000000*J452</f>
        <v/>
      </c>
      <c r="L452" s="18" t="n">
        <v>0.1607417738134304</v>
      </c>
      <c r="M452" s="9">
        <f>ROUND(K452*L452,0)</f>
        <v/>
      </c>
      <c r="N452" s="9" t="n">
        <v>110039</v>
      </c>
      <c r="O452" s="9">
        <f>N452-M452</f>
        <v/>
      </c>
      <c r="P452" s="8" t="inlineStr">
        <is>
          <t>MS4 Material delivery 20% x station price share 5.52% | BOQ section share 21.4% of station equipment x 75% (manufacture)</t>
        </is>
      </c>
      <c r="Q452" s="8" t="inlineStr">
        <is>
          <t>Annex 3 A2 Video management and wall (SAR 359,215)</t>
        </is>
      </c>
      <c r="R452" s="9" t="n">
        <v>273</v>
      </c>
      <c r="S452" s="19">
        <f>R452/1000</f>
        <v/>
      </c>
      <c r="T452" s="20" t="n">
        <v>47044</v>
      </c>
      <c r="U452" s="20" t="n">
        <v>47108</v>
      </c>
      <c r="V452" s="8" t="n">
        <v>47</v>
      </c>
    </row>
    <row r="453">
      <c r="A453" s="8" t="inlineStr">
        <is>
          <t>A3</t>
        </is>
      </c>
      <c r="B453" s="8" t="inlineStr">
        <is>
          <t>A3 Access control and intercom</t>
        </is>
      </c>
      <c r="C453" s="8" t="inlineStr">
        <is>
          <t>NJF-P1030</t>
        </is>
      </c>
      <c r="D453" s="8" t="inlineStr">
        <is>
          <t>Manufacture access control and intercom equipment - Al Jouf</t>
        </is>
      </c>
      <c r="E453" s="8" t="inlineStr">
        <is>
          <t>PRO.NJF.ACC</t>
        </is>
      </c>
      <c r="F453" s="8" t="inlineStr">
        <is>
          <t>Procurement</t>
        </is>
      </c>
      <c r="G453" s="8" t="inlineStr">
        <is>
          <t>NJF</t>
        </is>
      </c>
      <c r="H453" s="8" t="inlineStr">
        <is>
          <t>MS4</t>
        </is>
      </c>
      <c r="I453" s="16" t="n">
        <v>0.2</v>
      </c>
      <c r="J453" s="10">
        <f>Station_BOQ!R17</f>
        <v/>
      </c>
      <c r="K453" s="9">
        <f>I453*62000000*J453</f>
        <v/>
      </c>
      <c r="L453" s="18" t="n">
        <v>0.01972718594314012</v>
      </c>
      <c r="M453" s="9">
        <f>ROUND(K453*L453,0)</f>
        <v/>
      </c>
      <c r="N453" s="9" t="n">
        <v>13505</v>
      </c>
      <c r="O453" s="9">
        <f>N453-M453</f>
        <v/>
      </c>
      <c r="P453" s="8" t="inlineStr">
        <is>
          <t>MS4 Material delivery 20% x station price share 5.52% | BOQ section share 2.6% of station equipment x 75% (manufacture)</t>
        </is>
      </c>
      <c r="Q453" s="8" t="inlineStr">
        <is>
          <t>Annex 3 A3 Access control and intercom (SAR 44,085)</t>
        </is>
      </c>
      <c r="R453" s="9" t="n">
        <v>33</v>
      </c>
      <c r="S453" s="19">
        <f>R453/1000</f>
        <v/>
      </c>
      <c r="T453" s="20" t="n">
        <v>47044</v>
      </c>
      <c r="U453" s="20" t="n">
        <v>47108</v>
      </c>
      <c r="V453" s="8" t="n">
        <v>47</v>
      </c>
    </row>
    <row r="454">
      <c r="A454" s="8" t="inlineStr">
        <is>
          <t>A4, A5</t>
        </is>
      </c>
      <c r="B454" s="8" t="inlineStr">
        <is>
          <t>A4 UPS and A5 Poles, cabinets and network</t>
        </is>
      </c>
      <c r="C454" s="8" t="inlineStr">
        <is>
          <t>NJF-P1040</t>
        </is>
      </c>
      <c r="D454" s="8" t="inlineStr">
        <is>
          <t>Manufacture UPS, network switches and field cabinets - Al Jouf</t>
        </is>
      </c>
      <c r="E454" s="8" t="inlineStr">
        <is>
          <t>PRO.NJF.UPN</t>
        </is>
      </c>
      <c r="F454" s="8" t="inlineStr">
        <is>
          <t>Procurement</t>
        </is>
      </c>
      <c r="G454" s="8" t="inlineStr">
        <is>
          <t>NJF</t>
        </is>
      </c>
      <c r="H454" s="8" t="inlineStr">
        <is>
          <t>MS4</t>
        </is>
      </c>
      <c r="I454" s="16" t="n">
        <v>0.2</v>
      </c>
      <c r="J454" s="10">
        <f>Station_BOQ!R17</f>
        <v/>
      </c>
      <c r="K454" s="9">
        <f>I454*62000000*J454</f>
        <v/>
      </c>
      <c r="L454" s="18" t="n">
        <v>0.4178400107395364</v>
      </c>
      <c r="M454" s="9">
        <f>ROUND(K454*L454,0)</f>
        <v/>
      </c>
      <c r="N454" s="9" t="n">
        <v>286040</v>
      </c>
      <c r="O454" s="9">
        <f>N454-M454</f>
        <v/>
      </c>
      <c r="P454" s="8" t="inlineStr">
        <is>
          <t>MS4 Material delivery 20% x station price share 5.52% | BOQ section share 55.7% of station equipment x 75% (manufacture)</t>
        </is>
      </c>
      <c r="Q454" s="8" t="inlineStr">
        <is>
          <t>Annex 3 A4 UPS + A5 poles, cabinets and network (SAR 933,761)</t>
        </is>
      </c>
      <c r="R454" s="9" t="n">
        <v>709</v>
      </c>
      <c r="S454" s="19">
        <f>R454/1000</f>
        <v/>
      </c>
      <c r="T454" s="20" t="n">
        <v>47044</v>
      </c>
      <c r="U454" s="20" t="n">
        <v>47108</v>
      </c>
      <c r="V454" s="8" t="n">
        <v>47</v>
      </c>
    </row>
    <row r="455">
      <c r="A455" s="8" t="inlineStr">
        <is>
          <t>SH-FAT</t>
        </is>
      </c>
      <c r="B455" s="8" t="inlineStr">
        <is>
          <t>Factory acceptance test (per railway, allocated)</t>
        </is>
      </c>
      <c r="C455" s="8" t="inlineStr">
        <is>
          <t>NJF-P1050</t>
        </is>
      </c>
      <c r="D455" s="8" t="inlineStr">
        <is>
          <t>Factory acceptance test at vendor premises - Al Jouf</t>
        </is>
      </c>
      <c r="E455" s="8" t="inlineStr">
        <is>
          <t>PRO.NJF.LOG</t>
        </is>
      </c>
      <c r="F455" s="8" t="inlineStr">
        <is>
          <t>Procurement</t>
        </is>
      </c>
      <c r="G455" s="8" t="inlineStr">
        <is>
          <t>NJF</t>
        </is>
      </c>
      <c r="H455" s="8" t="inlineStr">
        <is>
          <t>MS4</t>
        </is>
      </c>
      <c r="I455" s="16" t="n">
        <v>0.2</v>
      </c>
      <c r="J455" s="10">
        <f>Station_BOQ!R17</f>
        <v/>
      </c>
      <c r="K455" s="9">
        <f>I455*62000000*J455</f>
        <v/>
      </c>
      <c r="L455" s="18" t="n">
        <v>0.05</v>
      </c>
      <c r="M455" s="9">
        <f>ROUND(K455*L455,0)</f>
        <v/>
      </c>
      <c r="N455" s="9" t="n">
        <v>34228</v>
      </c>
      <c r="O455" s="9">
        <f>N455-M455</f>
        <v/>
      </c>
      <c r="P455" s="8" t="inlineStr">
        <is>
          <t>MS4 Material delivery 20% x station price share 5.52% | Fixed key 5% (FAT)</t>
        </is>
      </c>
      <c r="Q455" s="8" t="inlineStr">
        <is>
          <t>Annex 3 Factory acceptance test (railway), allocated by hardware share</t>
        </is>
      </c>
      <c r="R455" s="9" t="n">
        <v>212</v>
      </c>
      <c r="S455" s="19">
        <f>R455/1000</f>
        <v/>
      </c>
      <c r="T455" s="20" t="n">
        <v>47111</v>
      </c>
      <c r="U455" s="20" t="n">
        <v>47122</v>
      </c>
      <c r="V455" s="8" t="n">
        <v>10</v>
      </c>
    </row>
    <row r="456">
      <c r="A456" s="8" t="inlineStr">
        <is>
          <t>A1-A5</t>
        </is>
      </c>
      <c r="B456" s="8" t="inlineStr">
        <is>
          <t>A1 to A5 equipment sections: logistics (shipping, customs, delivery) share</t>
        </is>
      </c>
      <c r="C456" s="8" t="inlineStr">
        <is>
          <t>NJF-P1060</t>
        </is>
      </c>
      <c r="D456" s="8" t="inlineStr">
        <is>
          <t>Shipping and customs clearance - Al Jouf</t>
        </is>
      </c>
      <c r="E456" s="8" t="inlineStr">
        <is>
          <t>PRO.NJF.LOG</t>
        </is>
      </c>
      <c r="F456" s="8" t="inlineStr">
        <is>
          <t>Procurement</t>
        </is>
      </c>
      <c r="G456" s="8" t="inlineStr">
        <is>
          <t>NJF</t>
        </is>
      </c>
      <c r="H456" s="8" t="inlineStr">
        <is>
          <t>MS4</t>
        </is>
      </c>
      <c r="I456" s="16" t="n">
        <v>0.2</v>
      </c>
      <c r="J456" s="10">
        <f>Station_BOQ!R17</f>
        <v/>
      </c>
      <c r="K456" s="9">
        <f>I456*62000000*J456</f>
        <v/>
      </c>
      <c r="L456" s="18" t="n">
        <v>0.15</v>
      </c>
      <c r="M456" s="9">
        <f>ROUND(K456*L456,0)</f>
        <v/>
      </c>
      <c r="N456" s="9" t="n">
        <v>102685</v>
      </c>
      <c r="O456" s="9">
        <f>N456-M456</f>
        <v/>
      </c>
      <c r="P456" s="8" t="inlineStr">
        <is>
          <t>MS4 Material delivery 20% x station price share 5.52% | Fixed key 15% (shipping and customs)</t>
        </is>
      </c>
      <c r="Q456" s="8" t="inlineStr">
        <is>
          <t>Annex 3 equipment sections A1-A5 (logistics share)</t>
        </is>
      </c>
      <c r="R456" s="9" t="n">
        <v>424</v>
      </c>
      <c r="S456" s="19">
        <f>R456/1000</f>
        <v/>
      </c>
      <c r="T456" s="20" t="n">
        <v>47125</v>
      </c>
      <c r="U456" s="20" t="n">
        <v>47154</v>
      </c>
      <c r="V456" s="8" t="n">
        <v>22</v>
      </c>
    </row>
    <row r="457">
      <c r="A457" s="8" t="inlineStr">
        <is>
          <t>SH-SPR</t>
        </is>
      </c>
      <c r="B457" s="8" t="inlineStr">
        <is>
          <t>Commissioning spares (per railway, allocated)</t>
        </is>
      </c>
      <c r="C457" s="8" t="inlineStr">
        <is>
          <t>NJF-P1070</t>
        </is>
      </c>
      <c r="D457" s="8" t="inlineStr">
        <is>
          <t>Delivery to station and receiving inspection - Al Jouf</t>
        </is>
      </c>
      <c r="E457" s="8" t="inlineStr">
        <is>
          <t>PRO.NJF.LOG</t>
        </is>
      </c>
      <c r="F457" s="8" t="inlineStr">
        <is>
          <t>Procurement</t>
        </is>
      </c>
      <c r="G457" s="8" t="inlineStr">
        <is>
          <t>NJF</t>
        </is>
      </c>
      <c r="H457" s="8" t="inlineStr">
        <is>
          <t>MS4</t>
        </is>
      </c>
      <c r="I457" s="16" t="n">
        <v>0.2</v>
      </c>
      <c r="J457" s="10">
        <f>Station_BOQ!R17</f>
        <v/>
      </c>
      <c r="K457" s="9">
        <f>I457*62000000*J457</f>
        <v/>
      </c>
      <c r="L457" s="18" t="n">
        <v>0.05</v>
      </c>
      <c r="M457" s="9">
        <f>ROUND(K457*L457,0)</f>
        <v/>
      </c>
      <c r="N457" s="9" t="n">
        <v>34228</v>
      </c>
      <c r="O457" s="9">
        <f>N457-M457</f>
        <v/>
      </c>
      <c r="P457" s="8" t="inlineStr">
        <is>
          <t>MS4 Material delivery 20% x station price share 5.52% | Fixed key 5% (delivery, receiving) incl. commissioning spares</t>
        </is>
      </c>
      <c r="Q457" s="8" t="inlineStr">
        <is>
          <t>Annex 3 Commissioning spares (railway), allocated by hardware share</t>
        </is>
      </c>
      <c r="R457" s="9" t="n">
        <v>212</v>
      </c>
      <c r="S457" s="19">
        <f>R457/1000</f>
        <v/>
      </c>
      <c r="T457" s="20" t="n">
        <v>47155</v>
      </c>
      <c r="U457" s="20" t="n">
        <v>47168</v>
      </c>
      <c r="V457" s="8" t="n">
        <v>5</v>
      </c>
    </row>
    <row r="458">
      <c r="A458" s="8" t="inlineStr">
        <is>
          <t>A6</t>
        </is>
      </c>
      <c r="B458" s="8" t="inlineStr">
        <is>
          <t>A6 Civil works</t>
        </is>
      </c>
      <c r="C458" s="8" t="inlineStr">
        <is>
          <t>NJF-C1010</t>
        </is>
      </c>
      <c r="D458" s="8" t="inlineStr">
        <is>
          <t>Civil: platform trenches and duct banks - Al Jouf</t>
        </is>
      </c>
      <c r="E458" s="8" t="inlineStr">
        <is>
          <t>CON.NJF.CIV</t>
        </is>
      </c>
      <c r="F458" s="8" t="inlineStr">
        <is>
          <t>Construction</t>
        </is>
      </c>
      <c r="G458" s="8" t="inlineStr">
        <is>
          <t>NJF</t>
        </is>
      </c>
      <c r="H458" s="8" t="inlineStr">
        <is>
          <t>MS5</t>
        </is>
      </c>
      <c r="I458" s="16" t="n">
        <v>0.2</v>
      </c>
      <c r="J458" s="10">
        <f>Station_BOQ!R17</f>
        <v/>
      </c>
      <c r="K458" s="9">
        <f>I458*62000000*J458</f>
        <v/>
      </c>
      <c r="L458" s="18" t="n">
        <v>0.1539650581201614</v>
      </c>
      <c r="M458" s="9">
        <f>ROUND(K458*L458,0)</f>
        <v/>
      </c>
      <c r="N458" s="9" t="n">
        <v>105400</v>
      </c>
      <c r="O458" s="9">
        <f>N458-M458</f>
        <v/>
      </c>
      <c r="P458" s="8" t="inlineStr">
        <is>
          <t>MS5 Installation 20% x station price share 5.52% | BOQ civil share 30.8% x 50% (trenches and duct banks)</t>
        </is>
      </c>
      <c r="Q458" s="8" t="inlineStr">
        <is>
          <t>Annex 3 A6 Civil works (SAR 745,743)</t>
        </is>
      </c>
      <c r="R458" s="9" t="n">
        <v>344</v>
      </c>
      <c r="S458" s="19">
        <f>R458/1000</f>
        <v/>
      </c>
      <c r="T458" s="20" t="n">
        <v>47065</v>
      </c>
      <c r="U458" s="20" t="n">
        <v>47143</v>
      </c>
      <c r="V458" s="8" t="n">
        <v>57</v>
      </c>
    </row>
    <row r="459">
      <c r="A459" s="8" t="inlineStr">
        <is>
          <t>A6</t>
        </is>
      </c>
      <c r="B459" s="8" t="inlineStr">
        <is>
          <t>A6 Civil works</t>
        </is>
      </c>
      <c r="C459" s="8" t="inlineStr">
        <is>
          <t>NJF-C1020</t>
        </is>
      </c>
      <c r="D459" s="8" t="inlineStr">
        <is>
          <t>Civil: camera and ALPR pole foundations and poles - Al Jouf</t>
        </is>
      </c>
      <c r="E459" s="8" t="inlineStr">
        <is>
          <t>CON.NJF.CIV</t>
        </is>
      </c>
      <c r="F459" s="8" t="inlineStr">
        <is>
          <t>Construction</t>
        </is>
      </c>
      <c r="G459" s="8" t="inlineStr">
        <is>
          <t>NJF</t>
        </is>
      </c>
      <c r="H459" s="8" t="inlineStr">
        <is>
          <t>MS5</t>
        </is>
      </c>
      <c r="I459" s="16" t="n">
        <v>0.2</v>
      </c>
      <c r="J459" s="10">
        <f>Station_BOQ!R17</f>
        <v/>
      </c>
      <c r="K459" s="9">
        <f>I459*62000000*J459</f>
        <v/>
      </c>
      <c r="L459" s="18" t="n">
        <v>0.1231720464961291</v>
      </c>
      <c r="M459" s="9">
        <f>ROUND(K459*L459,0)</f>
        <v/>
      </c>
      <c r="N459" s="9" t="n">
        <v>84320</v>
      </c>
      <c r="O459" s="9">
        <f>N459-M459</f>
        <v/>
      </c>
      <c r="P459" s="8" t="inlineStr">
        <is>
          <t>MS5 Installation 20% x station price share 5.52% | BOQ civil share 30.8% x 40% (poles)</t>
        </is>
      </c>
      <c r="Q459" s="8" t="inlineStr">
        <is>
          <t>Annex 3 A6 Civil works (SAR 745,743)</t>
        </is>
      </c>
      <c r="R459" s="9" t="n">
        <v>265</v>
      </c>
      <c r="S459" s="19">
        <f>R459/1000</f>
        <v/>
      </c>
      <c r="T459" s="20" t="n">
        <v>47118</v>
      </c>
      <c r="U459" s="20" t="n">
        <v>47188</v>
      </c>
      <c r="V459" s="8" t="n">
        <v>45</v>
      </c>
    </row>
    <row r="460">
      <c r="A460" s="8" t="inlineStr">
        <is>
          <t>A1-A5</t>
        </is>
      </c>
      <c r="B460" s="8" t="inlineStr">
        <is>
          <t>A1 to A5 equipment sections: installation share (works included in unit prices)</t>
        </is>
      </c>
      <c r="C460" s="8" t="inlineStr">
        <is>
          <t>NJF-C2010</t>
        </is>
      </c>
      <c r="D460" s="8" t="inlineStr">
        <is>
          <t>Install UPS, network switches and field cabinets - Al Jouf</t>
        </is>
      </c>
      <c r="E460" s="8" t="inlineStr">
        <is>
          <t>CON.NJF.INS</t>
        </is>
      </c>
      <c r="F460" s="8" t="inlineStr">
        <is>
          <t>Construction</t>
        </is>
      </c>
      <c r="G460" s="8" t="inlineStr">
        <is>
          <t>NJF</t>
        </is>
      </c>
      <c r="H460" s="8" t="inlineStr">
        <is>
          <t>MS5</t>
        </is>
      </c>
      <c r="I460" s="16" t="n">
        <v>0.2</v>
      </c>
      <c r="J460" s="10">
        <f>Station_BOQ!R17</f>
        <v/>
      </c>
      <c r="K460" s="9">
        <f>I460*62000000*J460</f>
        <v/>
      </c>
      <c r="L460" s="18" t="n">
        <v>0.1384139767519355</v>
      </c>
      <c r="M460" s="9">
        <f>ROUND(K460*L460,0)</f>
        <v/>
      </c>
      <c r="N460" s="9" t="n">
        <v>94754</v>
      </c>
      <c r="O460" s="9">
        <f>N460-M460</f>
        <v/>
      </c>
      <c r="P460" s="8" t="inlineStr">
        <is>
          <t>MS5 Installation 20% x station price share 5.52% | Installation key 20% x (1 - civil share 30.8%)</t>
        </is>
      </c>
      <c r="Q460" s="8" t="inlineStr">
        <is>
          <t>Annex 3 equipment sections A1-A5 (installation share)</t>
        </is>
      </c>
      <c r="R460" s="9" t="n">
        <v>159</v>
      </c>
      <c r="S460" s="19">
        <f>R460/1000</f>
        <v/>
      </c>
      <c r="T460" s="20" t="n">
        <v>47169</v>
      </c>
      <c r="U460" s="20" t="n">
        <v>47188</v>
      </c>
      <c r="V460" s="8" t="n">
        <v>13</v>
      </c>
    </row>
    <row r="461">
      <c r="A461" s="8" t="inlineStr">
        <is>
          <t>A1-A5</t>
        </is>
      </c>
      <c r="B461" s="8" t="inlineStr">
        <is>
          <t>A1 to A5 equipment sections: installation share (works included in unit prices)</t>
        </is>
      </c>
      <c r="C461" s="8" t="inlineStr">
        <is>
          <t>NJF-C2020</t>
        </is>
      </c>
      <c r="D461" s="8" t="inlineStr">
        <is>
          <t>Cabling and termination (power, fibre, data) - Al Jouf</t>
        </is>
      </c>
      <c r="E461" s="8" t="inlineStr">
        <is>
          <t>CON.NJF.INS</t>
        </is>
      </c>
      <c r="F461" s="8" t="inlineStr">
        <is>
          <t>Construction</t>
        </is>
      </c>
      <c r="G461" s="8" t="inlineStr">
        <is>
          <t>NJF</t>
        </is>
      </c>
      <c r="H461" s="8" t="inlineStr">
        <is>
          <t>MS5</t>
        </is>
      </c>
      <c r="I461" s="16" t="n">
        <v>0.2</v>
      </c>
      <c r="J461" s="10">
        <f>Station_BOQ!R17</f>
        <v/>
      </c>
      <c r="K461" s="9">
        <f>I461*62000000*J461</f>
        <v/>
      </c>
      <c r="L461" s="18" t="n">
        <v>0.2076209651279032</v>
      </c>
      <c r="M461" s="9">
        <f>ROUND(K461*L461,0)</f>
        <v/>
      </c>
      <c r="N461" s="9" t="n">
        <v>142131</v>
      </c>
      <c r="O461" s="9">
        <f>N461-M461</f>
        <v/>
      </c>
      <c r="P461" s="8" t="inlineStr">
        <is>
          <t>MS5 Installation 20% x station price share 5.52% | Installation key 30% x (1 - civil share 30.8%)</t>
        </is>
      </c>
      <c r="Q461" s="8" t="inlineStr">
        <is>
          <t>Annex 3 equipment sections A1-A5 (installation share)</t>
        </is>
      </c>
      <c r="R461" s="9" t="n">
        <v>318</v>
      </c>
      <c r="S461" s="19">
        <f>R461/1000</f>
        <v/>
      </c>
      <c r="T461" s="20" t="n">
        <v>47176</v>
      </c>
      <c r="U461" s="20" t="n">
        <v>47205</v>
      </c>
      <c r="V461" s="8" t="n">
        <v>22</v>
      </c>
    </row>
    <row r="462">
      <c r="A462" s="8" t="inlineStr">
        <is>
          <t>A1-A5</t>
        </is>
      </c>
      <c r="B462" s="8" t="inlineStr">
        <is>
          <t>A1 to A5 equipment sections: installation share (works included in unit prices)</t>
        </is>
      </c>
      <c r="C462" s="8" t="inlineStr">
        <is>
          <t>NJF-C2030</t>
        </is>
      </c>
      <c r="D462" s="8" t="inlineStr">
        <is>
          <t>Install and aim CCTV cameras - Al Jouf</t>
        </is>
      </c>
      <c r="E462" s="8" t="inlineStr">
        <is>
          <t>CON.NJF.INS</t>
        </is>
      </c>
      <c r="F462" s="8" t="inlineStr">
        <is>
          <t>Construction</t>
        </is>
      </c>
      <c r="G462" s="8" t="inlineStr">
        <is>
          <t>NJF</t>
        </is>
      </c>
      <c r="H462" s="8" t="inlineStr">
        <is>
          <t>MS5</t>
        </is>
      </c>
      <c r="I462" s="16" t="n">
        <v>0.2</v>
      </c>
      <c r="J462" s="10">
        <f>Station_BOQ!R17</f>
        <v/>
      </c>
      <c r="K462" s="9">
        <f>I462*62000000*J462</f>
        <v/>
      </c>
      <c r="L462" s="18" t="n">
        <v>0.1730174709399193</v>
      </c>
      <c r="M462" s="9">
        <f>ROUND(K462*L462,0)</f>
        <v/>
      </c>
      <c r="N462" s="9" t="n">
        <v>118442</v>
      </c>
      <c r="O462" s="9">
        <f>N462-M462</f>
        <v/>
      </c>
      <c r="P462" s="8" t="inlineStr">
        <is>
          <t>MS5 Installation 20% x station price share 5.52% | Installation key 25% x (1 - civil share 30.8%)</t>
        </is>
      </c>
      <c r="Q462" s="8" t="inlineStr">
        <is>
          <t>Annex 3 equipment sections A1-A5 (installation share)</t>
        </is>
      </c>
      <c r="R462" s="9" t="n">
        <v>265</v>
      </c>
      <c r="S462" s="19">
        <f>R462/1000</f>
        <v/>
      </c>
      <c r="T462" s="20" t="n">
        <v>47206</v>
      </c>
      <c r="U462" s="20" t="n">
        <v>47238</v>
      </c>
      <c r="V462" s="8" t="n">
        <v>18</v>
      </c>
    </row>
    <row r="463">
      <c r="A463" s="8" t="inlineStr">
        <is>
          <t>A1-A5</t>
        </is>
      </c>
      <c r="B463" s="8" t="inlineStr">
        <is>
          <t>A1 to A5 equipment sections: installation share (works included in unit prices)</t>
        </is>
      </c>
      <c r="C463" s="8" t="inlineStr">
        <is>
          <t>NJF-C2040</t>
        </is>
      </c>
      <c r="D463" s="8" t="inlineStr">
        <is>
          <t>Install video management, video wall and control-room equipment - Al Jouf</t>
        </is>
      </c>
      <c r="E463" s="8" t="inlineStr">
        <is>
          <t>CON.NJF.INS</t>
        </is>
      </c>
      <c r="F463" s="8" t="inlineStr">
        <is>
          <t>Construction</t>
        </is>
      </c>
      <c r="G463" s="8" t="inlineStr">
        <is>
          <t>NJF</t>
        </is>
      </c>
      <c r="H463" s="8" t="inlineStr">
        <is>
          <t>MS5</t>
        </is>
      </c>
      <c r="I463" s="16" t="n">
        <v>0.2</v>
      </c>
      <c r="J463" s="10">
        <f>Station_BOQ!R17</f>
        <v/>
      </c>
      <c r="K463" s="9">
        <f>I463*62000000*J463</f>
        <v/>
      </c>
      <c r="L463" s="18" t="n">
        <v>0.1038104825639516</v>
      </c>
      <c r="M463" s="9">
        <f>ROUND(K463*L463,0)</f>
        <v/>
      </c>
      <c r="N463" s="9" t="n">
        <v>71065</v>
      </c>
      <c r="O463" s="9">
        <f>N463-M463</f>
        <v/>
      </c>
      <c r="P463" s="8" t="inlineStr">
        <is>
          <t>MS5 Installation 20% x station price share 5.52% | Installation key 15% x (1 - civil share 30.8%)</t>
        </is>
      </c>
      <c r="Q463" s="8" t="inlineStr">
        <is>
          <t>Annex 3 equipment sections A1-A5 (installation share)</t>
        </is>
      </c>
      <c r="R463" s="9" t="n">
        <v>159</v>
      </c>
      <c r="S463" s="19">
        <f>R463/1000</f>
        <v/>
      </c>
      <c r="T463" s="20" t="n">
        <v>47189</v>
      </c>
      <c r="U463" s="20" t="n">
        <v>47209</v>
      </c>
      <c r="V463" s="8" t="n">
        <v>15</v>
      </c>
    </row>
    <row r="464">
      <c r="A464" s="8" t="inlineStr">
        <is>
          <t>A1-A5</t>
        </is>
      </c>
      <c r="B464" s="8" t="inlineStr">
        <is>
          <t>A1 to A5 equipment sections: installation share (works included in unit prices)</t>
        </is>
      </c>
      <c r="C464" s="8" t="inlineStr">
        <is>
          <t>NJF-C2050</t>
        </is>
      </c>
      <c r="D464" s="8" t="inlineStr">
        <is>
          <t>Install access control and intercom - Al Jouf</t>
        </is>
      </c>
      <c r="E464" s="8" t="inlineStr">
        <is>
          <t>CON.NJF.INS</t>
        </is>
      </c>
      <c r="F464" s="8" t="inlineStr">
        <is>
          <t>Construction</t>
        </is>
      </c>
      <c r="G464" s="8" t="inlineStr">
        <is>
          <t>NJF</t>
        </is>
      </c>
      <c r="H464" s="8" t="inlineStr">
        <is>
          <t>MS5</t>
        </is>
      </c>
      <c r="I464" s="16" t="n">
        <v>0.2</v>
      </c>
      <c r="J464" s="10">
        <f>Station_BOQ!R17</f>
        <v/>
      </c>
      <c r="K464" s="9">
        <f>I464*62000000*J464</f>
        <v/>
      </c>
      <c r="L464" s="18" t="n">
        <v>0.06920698837596773</v>
      </c>
      <c r="M464" s="9">
        <f>ROUND(K464*L464,0)</f>
        <v/>
      </c>
      <c r="N464" s="9" t="n">
        <v>47377</v>
      </c>
      <c r="O464" s="9">
        <f>N464-M464</f>
        <v/>
      </c>
      <c r="P464" s="8" t="inlineStr">
        <is>
          <t>MS5 Installation 20% x station price share 5.52% | Installation key 10% x (1 - civil share 30.8%)</t>
        </is>
      </c>
      <c r="Q464" s="8" t="inlineStr">
        <is>
          <t>Annex 3 equipment sections A1-A5 (installation share)</t>
        </is>
      </c>
      <c r="R464" s="9" t="n">
        <v>106</v>
      </c>
      <c r="S464" s="19">
        <f>R464/1000</f>
        <v/>
      </c>
      <c r="T464" s="20" t="n">
        <v>47195</v>
      </c>
      <c r="U464" s="20" t="n">
        <v>47211</v>
      </c>
      <c r="V464" s="8" t="n">
        <v>13</v>
      </c>
    </row>
    <row r="465">
      <c r="A465" s="8" t="inlineStr">
        <is>
          <t>A1-A5</t>
        </is>
      </c>
      <c r="B465" s="8" t="inlineStr">
        <is>
          <t>A1 to A5 equipment sections: testing and commissioning share</t>
        </is>
      </c>
      <c r="C465" s="8" t="inlineStr">
        <is>
          <t>NJF-T1010</t>
        </is>
      </c>
      <c r="D465" s="8" t="inlineStr">
        <is>
          <t>Pre-commissioning and loop checks - Al Jouf</t>
        </is>
      </c>
      <c r="E465" s="8" t="inlineStr">
        <is>
          <t>COM.NJF.TST</t>
        </is>
      </c>
      <c r="F465" s="8" t="inlineStr">
        <is>
          <t>Commissioning and handover</t>
        </is>
      </c>
      <c r="G465" s="8" t="inlineStr">
        <is>
          <t>NJF</t>
        </is>
      </c>
      <c r="H465" s="8" t="inlineStr">
        <is>
          <t>MS6</t>
        </is>
      </c>
      <c r="I465" s="16" t="n">
        <v>0.1</v>
      </c>
      <c r="J465" s="10">
        <f>Station_BOQ!R17</f>
        <v/>
      </c>
      <c r="K465" s="9">
        <f>I465*62000000*J465</f>
        <v/>
      </c>
      <c r="L465" s="18" t="n">
        <v>0.4</v>
      </c>
      <c r="M465" s="9">
        <f>ROUND(K465*L465,0)</f>
        <v/>
      </c>
      <c r="N465" s="9" t="n">
        <v>136914</v>
      </c>
      <c r="O465" s="9">
        <f>N465-M465</f>
        <v/>
      </c>
      <c r="P465" s="8" t="inlineStr">
        <is>
          <t>MS6 Testing and commissioning (SAT) 10% x station price share 5.52% | Fixed key 40% of SAT milestone</t>
        </is>
      </c>
      <c r="Q465" s="8" t="inlineStr">
        <is>
          <t>Annex 3 equipment sections A1-A5 (testing share)</t>
        </is>
      </c>
      <c r="R465" s="9" t="n">
        <v>159</v>
      </c>
      <c r="S465" s="19">
        <f>R465/1000</f>
        <v/>
      </c>
      <c r="T465" s="20" t="n">
        <v>47239</v>
      </c>
      <c r="U465" s="20" t="n">
        <v>47245</v>
      </c>
      <c r="V465" s="8" t="n">
        <v>5</v>
      </c>
    </row>
    <row r="466">
      <c r="A466" s="8" t="inlineStr">
        <is>
          <t>A1-A5</t>
        </is>
      </c>
      <c r="B466" s="8" t="inlineStr">
        <is>
          <t>A1 to A5 equipment sections: testing and commissioning share</t>
        </is>
      </c>
      <c r="C466" s="8" t="inlineStr">
        <is>
          <t>NJF-T1020</t>
        </is>
      </c>
      <c r="D466" s="8" t="inlineStr">
        <is>
          <t>Site acceptance test (SAT) and commissioning - Al Jouf</t>
        </is>
      </c>
      <c r="E466" s="8" t="inlineStr">
        <is>
          <t>COM.NJF.TST</t>
        </is>
      </c>
      <c r="F466" s="8" t="inlineStr">
        <is>
          <t>Commissioning and handover</t>
        </is>
      </c>
      <c r="G466" s="8" t="inlineStr">
        <is>
          <t>NJF</t>
        </is>
      </c>
      <c r="H466" s="8" t="inlineStr">
        <is>
          <t>MS6</t>
        </is>
      </c>
      <c r="I466" s="16" t="n">
        <v>0.1</v>
      </c>
      <c r="J466" s="10">
        <f>Station_BOQ!R17</f>
        <v/>
      </c>
      <c r="K466" s="9">
        <f>I466*62000000*J466</f>
        <v/>
      </c>
      <c r="L466" s="18" t="n">
        <v>0.6</v>
      </c>
      <c r="M466" s="9">
        <f>ROUND(K466*L466,0)</f>
        <v/>
      </c>
      <c r="N466" s="9" t="n">
        <v>205371</v>
      </c>
      <c r="O466" s="9">
        <f>N466-M466</f>
        <v/>
      </c>
      <c r="P466" s="8" t="inlineStr">
        <is>
          <t>MS6 Testing and commissioning (SAT) 10% x station price share 5.52% | Fixed key 60% of SAT milestone</t>
        </is>
      </c>
      <c r="Q466" s="8" t="inlineStr">
        <is>
          <t>Annex 3 equipment sections A1-A5 (testing share)</t>
        </is>
      </c>
      <c r="R466" s="9" t="n">
        <v>212</v>
      </c>
      <c r="S466" s="19">
        <f>R466/1000</f>
        <v/>
      </c>
      <c r="T466" s="20" t="n">
        <v>47246</v>
      </c>
      <c r="U466" s="20" t="n">
        <v>47255</v>
      </c>
      <c r="V466" s="8" t="n">
        <v>8</v>
      </c>
    </row>
    <row r="467">
      <c r="A467" s="8" t="inlineStr">
        <is>
          <t>SH-TRN</t>
        </is>
      </c>
      <c r="B467" s="8" t="inlineStr">
        <is>
          <t>Training (per railway, allocated)</t>
        </is>
      </c>
      <c r="C467" s="8" t="inlineStr">
        <is>
          <t>NJF-T2010</t>
        </is>
      </c>
      <c r="D467" s="8" t="inlineStr">
        <is>
          <t>Operator and maintenance training - Al Jouf</t>
        </is>
      </c>
      <c r="E467" s="8" t="inlineStr">
        <is>
          <t>COM.NJF.TRN</t>
        </is>
      </c>
      <c r="F467" s="8" t="inlineStr">
        <is>
          <t>Commissioning and handover</t>
        </is>
      </c>
      <c r="G467" s="8" t="inlineStr">
        <is>
          <t>NJF</t>
        </is>
      </c>
      <c r="H467" s="8" t="inlineStr">
        <is>
          <t>MS7</t>
        </is>
      </c>
      <c r="I467" s="16" t="n">
        <v>0.1</v>
      </c>
      <c r="J467" s="10">
        <f>Station_BOQ!R17</f>
        <v/>
      </c>
      <c r="K467" s="9">
        <f>I467*62000000*J467</f>
        <v/>
      </c>
      <c r="L467" s="18" t="n">
        <v>0.15</v>
      </c>
      <c r="M467" s="9">
        <f>ROUND(K467*L467,0)</f>
        <v/>
      </c>
      <c r="N467" s="9" t="n">
        <v>51343</v>
      </c>
      <c r="O467" s="9">
        <f>N467-M467</f>
        <v/>
      </c>
      <c r="P467" s="8" t="inlineStr">
        <is>
          <t>MS7 Final acceptance and handover 10% x station price share 5.52% | Fixed key 15%</t>
        </is>
      </c>
      <c r="Q467" s="8" t="inlineStr">
        <is>
          <t>Annex 3 Training (railway), allocated by hardware share</t>
        </is>
      </c>
      <c r="R467" s="9" t="n">
        <v>106</v>
      </c>
      <c r="S467" s="19">
        <f>R467/1000</f>
        <v/>
      </c>
      <c r="T467" s="20" t="n">
        <v>47258</v>
      </c>
      <c r="U467" s="20" t="n">
        <v>47269</v>
      </c>
      <c r="V467" s="8" t="n">
        <v>10</v>
      </c>
    </row>
    <row r="468">
      <c r="A468" s="8" t="inlineStr">
        <is>
          <t>A1-A5</t>
        </is>
      </c>
      <c r="B468" s="8" t="inlineStr">
        <is>
          <t>A1 to A5 equipment sections: trial operation share</t>
        </is>
      </c>
      <c r="C468" s="8" t="inlineStr">
        <is>
          <t>NJF-T2020</t>
        </is>
      </c>
      <c r="D468" s="8" t="inlineStr">
        <is>
          <t>Trial operation (maximum 45 days) - Al Jouf</t>
        </is>
      </c>
      <c r="E468" s="8" t="inlineStr">
        <is>
          <t>COM.NJF.TOA</t>
        </is>
      </c>
      <c r="F468" s="8" t="inlineStr">
        <is>
          <t>Commissioning and handover</t>
        </is>
      </c>
      <c r="G468" s="8" t="inlineStr">
        <is>
          <t>NJF</t>
        </is>
      </c>
      <c r="H468" s="8" t="inlineStr">
        <is>
          <t>MS7</t>
        </is>
      </c>
      <c r="I468" s="16" t="n">
        <v>0.1</v>
      </c>
      <c r="J468" s="10">
        <f>Station_BOQ!R17</f>
        <v/>
      </c>
      <c r="K468" s="9">
        <f>I468*62000000*J468</f>
        <v/>
      </c>
      <c r="L468" s="18" t="n">
        <v>0.35</v>
      </c>
      <c r="M468" s="9">
        <f>ROUND(K468*L468,0)</f>
        <v/>
      </c>
      <c r="N468" s="9" t="n">
        <v>119800</v>
      </c>
      <c r="O468" s="9">
        <f>N468-M468</f>
        <v/>
      </c>
      <c r="P468" s="8" t="inlineStr">
        <is>
          <t>MS7 Final acceptance and handover 10% x station price share 5.52% | Fixed key 35%</t>
        </is>
      </c>
      <c r="Q468" s="8" t="inlineStr">
        <is>
          <t>Annex 3 equipment sections A1-A5 (trial operation share)</t>
        </is>
      </c>
      <c r="R468" s="9" t="n">
        <v>159</v>
      </c>
      <c r="S468" s="19">
        <f>R468/1000</f>
        <v/>
      </c>
      <c r="T468" s="20" t="n">
        <v>47258</v>
      </c>
      <c r="U468" s="20" t="n">
        <v>47297</v>
      </c>
      <c r="V468" s="8" t="n">
        <v>30</v>
      </c>
    </row>
    <row r="469">
      <c r="A469" s="8" t="inlineStr">
        <is>
          <t>A1-A5</t>
        </is>
      </c>
      <c r="B469" s="8" t="inlineStr">
        <is>
          <t>A1 to A5 equipment sections: handover share</t>
        </is>
      </c>
      <c r="C469" s="8" t="inlineStr">
        <is>
          <t>NJF-T3010</t>
        </is>
      </c>
      <c r="D469" s="8" t="inlineStr">
        <is>
          <t>Taking-over application, SAR review and handover - Al Jouf</t>
        </is>
      </c>
      <c r="E469" s="8" t="inlineStr">
        <is>
          <t>COM.NJF.TOA</t>
        </is>
      </c>
      <c r="F469" s="8" t="inlineStr">
        <is>
          <t>Commissioning and handover</t>
        </is>
      </c>
      <c r="G469" s="8" t="inlineStr">
        <is>
          <t>NJF</t>
        </is>
      </c>
      <c r="H469" s="8" t="inlineStr">
        <is>
          <t>MS7</t>
        </is>
      </c>
      <c r="I469" s="16" t="n">
        <v>0.1</v>
      </c>
      <c r="J469" s="10">
        <f>Station_BOQ!R17</f>
        <v/>
      </c>
      <c r="K469" s="9">
        <f>I469*62000000*J469</f>
        <v/>
      </c>
      <c r="L469" s="18" t="n">
        <v>0.3</v>
      </c>
      <c r="M469" s="9">
        <f>ROUND(K469*L469,0)</f>
        <v/>
      </c>
      <c r="N469" s="9" t="n">
        <v>102685</v>
      </c>
      <c r="O469" s="9">
        <f>N469-M469</f>
        <v/>
      </c>
      <c r="P469" s="8" t="inlineStr">
        <is>
          <t>MS7 Final acceptance and handover 10% x station price share 5.52% | Fixed key 30%</t>
        </is>
      </c>
      <c r="Q469" s="8" t="inlineStr">
        <is>
          <t>Annex 3 equipment sections A1-A5 (handover share)</t>
        </is>
      </c>
      <c r="R469" s="9" t="n">
        <v>159</v>
      </c>
      <c r="S469" s="19">
        <f>R469/1000</f>
        <v/>
      </c>
      <c r="T469" s="20" t="n">
        <v>47300</v>
      </c>
      <c r="U469" s="20" t="n">
        <v>47329</v>
      </c>
      <c r="V469" s="8" t="n">
        <v>22</v>
      </c>
    </row>
    <row r="470">
      <c r="A470" s="8" t="inlineStr">
        <is>
          <t>SH-DES</t>
        </is>
      </c>
      <c r="B470" s="8" t="inlineStr">
        <is>
          <t>Design and engineering package (per railway, allocated to the station)</t>
        </is>
      </c>
      <c r="C470" s="8" t="inlineStr">
        <is>
          <t>NQR-E1010</t>
        </is>
      </c>
      <c r="D470" s="8" t="inlineStr">
        <is>
          <t>Survey: submittal of site survey and as-found report - Al Qurayyat</t>
        </is>
      </c>
      <c r="E470" s="8" t="inlineStr">
        <is>
          <t>ENG.NQR.SRV.SUB</t>
        </is>
      </c>
      <c r="F470" s="8" t="inlineStr">
        <is>
          <t>Engineering</t>
        </is>
      </c>
      <c r="G470" s="8" t="inlineStr">
        <is>
          <t>NQR</t>
        </is>
      </c>
      <c r="H470" s="8" t="inlineStr">
        <is>
          <t>MS2</t>
        </is>
      </c>
      <c r="I470" s="16" t="n">
        <v>0.1</v>
      </c>
      <c r="J470" s="10">
        <f>Station_BOQ!R18</f>
        <v/>
      </c>
      <c r="K470" s="9">
        <f>I470*62000000*J470</f>
        <v/>
      </c>
      <c r="L470" s="18" t="n">
        <v>0.06900000000000001</v>
      </c>
      <c r="M470" s="9">
        <f>ROUND(K470*L470,0)</f>
        <v/>
      </c>
      <c r="N470" s="9" t="n">
        <v>23453</v>
      </c>
      <c r="O470" s="9">
        <f>N470-M470</f>
        <v/>
      </c>
      <c r="P470" s="8" t="inlineStr">
        <is>
          <t>MS2 Engineering submittal 10% x station price share 5.48% | Design stage key 6.9% of the engineering-submittal milestone</t>
        </is>
      </c>
      <c r="Q470" s="8" t="inlineStr">
        <is>
          <t>Annex 3 Design and engineering package (railway) allocated by station hardware share</t>
        </is>
      </c>
      <c r="R470" s="9" t="n">
        <v>30</v>
      </c>
      <c r="S470" s="19">
        <f>R470/1000</f>
        <v/>
      </c>
      <c r="T470" s="20" t="n">
        <v>46967</v>
      </c>
      <c r="U470" s="20" t="n">
        <v>46978</v>
      </c>
      <c r="V470" s="8" t="n">
        <v>8</v>
      </c>
    </row>
    <row r="471">
      <c r="A471" s="8" t="inlineStr">
        <is>
          <t>SH-DES</t>
        </is>
      </c>
      <c r="B471" s="8" t="inlineStr">
        <is>
          <t>Design and engineering package (per railway, allocated to the station)</t>
        </is>
      </c>
      <c r="C471" s="8" t="inlineStr">
        <is>
          <t>NQR-E1020</t>
        </is>
      </c>
      <c r="D471" s="8" t="inlineStr">
        <is>
          <t>Survey: SAR approval of survey report - Al Qurayyat</t>
        </is>
      </c>
      <c r="E471" s="8" t="inlineStr">
        <is>
          <t>ENG.NQR.SRV.APR</t>
        </is>
      </c>
      <c r="F471" s="8" t="inlineStr">
        <is>
          <t>Engineering</t>
        </is>
      </c>
      <c r="G471" s="8" t="inlineStr">
        <is>
          <t>NQR</t>
        </is>
      </c>
      <c r="H471" s="8" t="inlineStr">
        <is>
          <t>MS3</t>
        </is>
      </c>
      <c r="I471" s="16" t="n">
        <v>0.1</v>
      </c>
      <c r="J471" s="10">
        <f>Station_BOQ!R18</f>
        <v/>
      </c>
      <c r="K471" s="9">
        <f>I471*62000000*J471</f>
        <v/>
      </c>
      <c r="L471" s="18" t="n">
        <v>0.05</v>
      </c>
      <c r="M471" s="9">
        <f>ROUND(K471*L471,0)</f>
        <v/>
      </c>
      <c r="N471" s="9" t="n">
        <v>16995</v>
      </c>
      <c r="O471" s="9">
        <f>N471-M471</f>
        <v/>
      </c>
      <c r="P471" s="8" t="inlineStr">
        <is>
          <t>MS3 SAR approval of engineering 10% x station price share 5.48% | Design stage key 5.0% of the SAR-approval milestone</t>
        </is>
      </c>
      <c r="Q471" s="8" t="inlineStr">
        <is>
          <t>Annex 3 Design and engineering package (railway) allocated by station hardware share</t>
        </is>
      </c>
      <c r="R471" s="9" t="n">
        <v>32</v>
      </c>
      <c r="S471" s="19">
        <f>R471/1000</f>
        <v/>
      </c>
      <c r="T471" s="20" t="n">
        <v>46979</v>
      </c>
      <c r="U471" s="20" t="n">
        <v>46999</v>
      </c>
      <c r="V471" s="8" t="n">
        <v>15</v>
      </c>
    </row>
    <row r="472">
      <c r="A472" s="8" t="inlineStr">
        <is>
          <t>SH-DES</t>
        </is>
      </c>
      <c r="B472" s="8" t="inlineStr">
        <is>
          <t>Design and engineering package (per railway, allocated to the station)</t>
        </is>
      </c>
      <c r="C472" s="8" t="inlineStr">
        <is>
          <t>NQR-E1030</t>
        </is>
      </c>
      <c r="D472" s="8" t="inlineStr">
        <is>
          <t>Concept design: submittal - Al Qurayyat</t>
        </is>
      </c>
      <c r="E472" s="8" t="inlineStr">
        <is>
          <t>ENG.NQR.CNC.SUB</t>
        </is>
      </c>
      <c r="F472" s="8" t="inlineStr">
        <is>
          <t>Engineering</t>
        </is>
      </c>
      <c r="G472" s="8" t="inlineStr">
        <is>
          <t>NQR</t>
        </is>
      </c>
      <c r="H472" s="8" t="inlineStr">
        <is>
          <t>MS2</t>
        </is>
      </c>
      <c r="I472" s="16" t="n">
        <v>0.1</v>
      </c>
      <c r="J472" s="10">
        <f>Station_BOQ!R18</f>
        <v/>
      </c>
      <c r="K472" s="9">
        <f>I472*62000000*J472</f>
        <v/>
      </c>
      <c r="L472" s="18" t="n">
        <v>0.098</v>
      </c>
      <c r="M472" s="9">
        <f>ROUND(K472*L472,0)</f>
        <v/>
      </c>
      <c r="N472" s="9" t="n">
        <v>33309</v>
      </c>
      <c r="O472" s="9">
        <f>N472-M472</f>
        <v/>
      </c>
      <c r="P472" s="8" t="inlineStr">
        <is>
          <t>MS2 Engineering submittal 10% x station price share 5.48% | Design stage key 9.8% of the engineering-submittal milestone</t>
        </is>
      </c>
      <c r="Q472" s="8" t="inlineStr">
        <is>
          <t>Annex 3 Design and engineering package (railway) allocated by station hardware share</t>
        </is>
      </c>
      <c r="R472" s="9" t="n">
        <v>25</v>
      </c>
      <c r="S472" s="19">
        <f>R472/1000</f>
        <v/>
      </c>
      <c r="T472" s="20" t="n">
        <v>46979</v>
      </c>
      <c r="U472" s="20" t="n">
        <v>46992</v>
      </c>
      <c r="V472" s="8" t="n">
        <v>10</v>
      </c>
    </row>
    <row r="473">
      <c r="A473" s="8" t="inlineStr">
        <is>
          <t>SH-DES</t>
        </is>
      </c>
      <c r="B473" s="8" t="inlineStr">
        <is>
          <t>Design and engineering package (per railway, allocated to the station)</t>
        </is>
      </c>
      <c r="C473" s="8" t="inlineStr">
        <is>
          <t>NQR-E1040</t>
        </is>
      </c>
      <c r="D473" s="8" t="inlineStr">
        <is>
          <t>Concept design: SAR review and approval - Al Qurayyat</t>
        </is>
      </c>
      <c r="E473" s="8" t="inlineStr">
        <is>
          <t>ENG.NQR.CNC.APR</t>
        </is>
      </c>
      <c r="F473" s="8" t="inlineStr">
        <is>
          <t>Engineering</t>
        </is>
      </c>
      <c r="G473" s="8" t="inlineStr">
        <is>
          <t>NQR</t>
        </is>
      </c>
      <c r="H473" s="8" t="inlineStr">
        <is>
          <t>MS3</t>
        </is>
      </c>
      <c r="I473" s="16" t="n">
        <v>0.1</v>
      </c>
      <c r="J473" s="10">
        <f>Station_BOQ!R18</f>
        <v/>
      </c>
      <c r="K473" s="9">
        <f>I473*62000000*J473</f>
        <v/>
      </c>
      <c r="L473" s="18" t="n">
        <v>0.1</v>
      </c>
      <c r="M473" s="9">
        <f>ROUND(K473*L473,0)</f>
        <v/>
      </c>
      <c r="N473" s="9" t="n">
        <v>33989</v>
      </c>
      <c r="O473" s="9">
        <f>N473-M473</f>
        <v/>
      </c>
      <c r="P473" s="8" t="inlineStr">
        <is>
          <t>MS3 SAR approval of engineering 10% x station price share 5.48% | Design stage key 10.0% of the SAR-approval milestone</t>
        </is>
      </c>
      <c r="Q473" s="8" t="inlineStr">
        <is>
          <t>Annex 3 Design and engineering package (railway) allocated by station hardware share</t>
        </is>
      </c>
      <c r="R473" s="9" t="n">
        <v>37</v>
      </c>
      <c r="S473" s="19">
        <f>R473/1000</f>
        <v/>
      </c>
      <c r="T473" s="20" t="n">
        <v>46993</v>
      </c>
      <c r="U473" s="20" t="n">
        <v>47013</v>
      </c>
      <c r="V473" s="8" t="n">
        <v>15</v>
      </c>
    </row>
    <row r="474">
      <c r="A474" s="8" t="inlineStr">
        <is>
          <t>SH-DES</t>
        </is>
      </c>
      <c r="B474" s="8" t="inlineStr">
        <is>
          <t>Design and engineering package (per railway, allocated to the station)</t>
        </is>
      </c>
      <c r="C474" s="8" t="inlineStr">
        <is>
          <t>NQR-E1050</t>
        </is>
      </c>
      <c r="D474" s="8" t="inlineStr">
        <is>
          <t>Preliminary design: submittal - Al Qurayyat</t>
        </is>
      </c>
      <c r="E474" s="8" t="inlineStr">
        <is>
          <t>ENG.NQR.PRE.SUB</t>
        </is>
      </c>
      <c r="F474" s="8" t="inlineStr">
        <is>
          <t>Engineering</t>
        </is>
      </c>
      <c r="G474" s="8" t="inlineStr">
        <is>
          <t>NQR</t>
        </is>
      </c>
      <c r="H474" s="8" t="inlineStr">
        <is>
          <t>MS2</t>
        </is>
      </c>
      <c r="I474" s="16" t="n">
        <v>0.1</v>
      </c>
      <c r="J474" s="10">
        <f>Station_BOQ!R18</f>
        <v/>
      </c>
      <c r="K474" s="9">
        <f>I474*62000000*J474</f>
        <v/>
      </c>
      <c r="L474" s="18" t="n">
        <v>0.196</v>
      </c>
      <c r="M474" s="9">
        <f>ROUND(K474*L474,0)</f>
        <v/>
      </c>
      <c r="N474" s="9" t="n">
        <v>66619</v>
      </c>
      <c r="O474" s="9">
        <f>N474-M474</f>
        <v/>
      </c>
      <c r="P474" s="8" t="inlineStr">
        <is>
          <t>MS2 Engineering submittal 10% x station price share 5.48% | Design stage key 19.6% of the engineering-submittal milestone</t>
        </is>
      </c>
      <c r="Q474" s="8" t="inlineStr">
        <is>
          <t>Annex 3 Design and engineering package (railway) allocated by station hardware share</t>
        </is>
      </c>
      <c r="R474" s="9" t="n">
        <v>57</v>
      </c>
      <c r="S474" s="19">
        <f>R474/1000</f>
        <v/>
      </c>
      <c r="T474" s="20" t="n">
        <v>46993</v>
      </c>
      <c r="U474" s="20" t="n">
        <v>47014</v>
      </c>
      <c r="V474" s="8" t="n">
        <v>16</v>
      </c>
    </row>
    <row r="475">
      <c r="A475" s="8" t="inlineStr">
        <is>
          <t>SH-DES</t>
        </is>
      </c>
      <c r="B475" s="8" t="inlineStr">
        <is>
          <t>Design and engineering package (per railway, allocated to the station)</t>
        </is>
      </c>
      <c r="C475" s="8" t="inlineStr">
        <is>
          <t>NQR-E1060</t>
        </is>
      </c>
      <c r="D475" s="8" t="inlineStr">
        <is>
          <t>Preliminary design: SAR review and approval - Al Qurayyat</t>
        </is>
      </c>
      <c r="E475" s="8" t="inlineStr">
        <is>
          <t>ENG.NQR.PRE.APR</t>
        </is>
      </c>
      <c r="F475" s="8" t="inlineStr">
        <is>
          <t>Engineering</t>
        </is>
      </c>
      <c r="G475" s="8" t="inlineStr">
        <is>
          <t>NQR</t>
        </is>
      </c>
      <c r="H475" s="8" t="inlineStr">
        <is>
          <t>MS3</t>
        </is>
      </c>
      <c r="I475" s="16" t="n">
        <v>0.1</v>
      </c>
      <c r="J475" s="10">
        <f>Station_BOQ!R18</f>
        <v/>
      </c>
      <c r="K475" s="9">
        <f>I475*62000000*J475</f>
        <v/>
      </c>
      <c r="L475" s="18" t="n">
        <v>0.2</v>
      </c>
      <c r="M475" s="9">
        <f>ROUND(K475*L475,0)</f>
        <v/>
      </c>
      <c r="N475" s="9" t="n">
        <v>67978</v>
      </c>
      <c r="O475" s="9">
        <f>N475-M475</f>
        <v/>
      </c>
      <c r="P475" s="8" t="inlineStr">
        <is>
          <t>MS3 SAR approval of engineering 10% x station price share 5.48% | Design stage key 20.0% of the SAR-approval milestone</t>
        </is>
      </c>
      <c r="Q475" s="8" t="inlineStr">
        <is>
          <t>Annex 3 Design and engineering package (railway) allocated by station hardware share</t>
        </is>
      </c>
      <c r="R475" s="9" t="n">
        <v>54</v>
      </c>
      <c r="S475" s="19">
        <f>R475/1000</f>
        <v/>
      </c>
      <c r="T475" s="20" t="n">
        <v>47015</v>
      </c>
      <c r="U475" s="20" t="n">
        <v>47035</v>
      </c>
      <c r="V475" s="8" t="n">
        <v>15</v>
      </c>
    </row>
    <row r="476">
      <c r="A476" s="8" t="inlineStr">
        <is>
          <t>SH-DES</t>
        </is>
      </c>
      <c r="B476" s="8" t="inlineStr">
        <is>
          <t>Design and engineering package (per railway, allocated to the station)</t>
        </is>
      </c>
      <c r="C476" s="8" t="inlineStr">
        <is>
          <t>NQR-E1070</t>
        </is>
      </c>
      <c r="D476" s="8" t="inlineStr">
        <is>
          <t>Detailed design: submittal (drawings, BOQ, data sheets) - Al Qurayyat</t>
        </is>
      </c>
      <c r="E476" s="8" t="inlineStr">
        <is>
          <t>ENG.NQR.DET.SUB</t>
        </is>
      </c>
      <c r="F476" s="8" t="inlineStr">
        <is>
          <t>Engineering</t>
        </is>
      </c>
      <c r="G476" s="8" t="inlineStr">
        <is>
          <t>NQR</t>
        </is>
      </c>
      <c r="H476" s="8" t="inlineStr">
        <is>
          <t>MS2</t>
        </is>
      </c>
      <c r="I476" s="16" t="n">
        <v>0.1</v>
      </c>
      <c r="J476" s="10">
        <f>Station_BOQ!R18</f>
        <v/>
      </c>
      <c r="K476" s="9">
        <f>I476*62000000*J476</f>
        <v/>
      </c>
      <c r="L476" s="18" t="n">
        <v>0.392</v>
      </c>
      <c r="M476" s="9">
        <f>ROUND(K476*L476,0)</f>
        <v/>
      </c>
      <c r="N476" s="9" t="n">
        <v>133238</v>
      </c>
      <c r="O476" s="9">
        <f>N476-M476</f>
        <v/>
      </c>
      <c r="P476" s="8" t="inlineStr">
        <is>
          <t>MS2 Engineering submittal 10% x station price share 5.48% | Design stage key 39.2% of the engineering-submittal milestone</t>
        </is>
      </c>
      <c r="Q476" s="8" t="inlineStr">
        <is>
          <t>Annex 3 Design and engineering package (railway) allocated by station hardware share</t>
        </is>
      </c>
      <c r="R476" s="9" t="n">
        <v>118</v>
      </c>
      <c r="S476" s="19">
        <f>R476/1000</f>
        <v/>
      </c>
      <c r="T476" s="20" t="n">
        <v>47015</v>
      </c>
      <c r="U476" s="20" t="n">
        <v>47050</v>
      </c>
      <c r="V476" s="8" t="n">
        <v>26</v>
      </c>
    </row>
    <row r="477">
      <c r="A477" s="8" t="inlineStr">
        <is>
          <t>SH-DES</t>
        </is>
      </c>
      <c r="B477" s="8" t="inlineStr">
        <is>
          <t>Design and engineering package (per railway, allocated to the station)</t>
        </is>
      </c>
      <c r="C477" s="8" t="inlineStr">
        <is>
          <t>NQR-E1080</t>
        </is>
      </c>
      <c r="D477" s="8" t="inlineStr">
        <is>
          <t>Detailed design: SAR review and approval - Al Qurayyat</t>
        </is>
      </c>
      <c r="E477" s="8" t="inlineStr">
        <is>
          <t>ENG.NQR.DET.APR</t>
        </is>
      </c>
      <c r="F477" s="8" t="inlineStr">
        <is>
          <t>Engineering</t>
        </is>
      </c>
      <c r="G477" s="8" t="inlineStr">
        <is>
          <t>NQR</t>
        </is>
      </c>
      <c r="H477" s="8" t="inlineStr">
        <is>
          <t>MS3</t>
        </is>
      </c>
      <c r="I477" s="16" t="n">
        <v>0.1</v>
      </c>
      <c r="J477" s="10">
        <f>Station_BOQ!R18</f>
        <v/>
      </c>
      <c r="K477" s="9">
        <f>I477*62000000*J477</f>
        <v/>
      </c>
      <c r="L477" s="18" t="n">
        <v>0.4</v>
      </c>
      <c r="M477" s="9">
        <f>ROUND(K477*L477,0)</f>
        <v/>
      </c>
      <c r="N477" s="9" t="n">
        <v>135957</v>
      </c>
      <c r="O477" s="9">
        <f>N477-M477</f>
        <v/>
      </c>
      <c r="P477" s="8" t="inlineStr">
        <is>
          <t>MS3 SAR approval of engineering 10% x station price share 5.48% | Design stage key 40.0% of the SAR-approval milestone</t>
        </is>
      </c>
      <c r="Q477" s="8" t="inlineStr">
        <is>
          <t>Annex 3 Design and engineering package (railway) allocated by station hardware share</t>
        </is>
      </c>
      <c r="R477" s="9" t="n">
        <v>68</v>
      </c>
      <c r="S477" s="19">
        <f>R477/1000</f>
        <v/>
      </c>
      <c r="T477" s="20" t="n">
        <v>47051</v>
      </c>
      <c r="U477" s="20" t="n">
        <v>47071</v>
      </c>
      <c r="V477" s="8" t="n">
        <v>15</v>
      </c>
    </row>
    <row r="478">
      <c r="A478" s="8" t="inlineStr">
        <is>
          <t>SH-DES</t>
        </is>
      </c>
      <c r="B478" s="8" t="inlineStr">
        <is>
          <t>Design and engineering package (per railway, allocated to the station)</t>
        </is>
      </c>
      <c r="C478" s="8" t="inlineStr">
        <is>
          <t>NQR-E1090</t>
        </is>
      </c>
      <c r="D478" s="8" t="inlineStr">
        <is>
          <t>IFC and shop drawings: submittal - Al Qurayyat</t>
        </is>
      </c>
      <c r="E478" s="8" t="inlineStr">
        <is>
          <t>ENG.NQR.IFC.SUB</t>
        </is>
      </c>
      <c r="F478" s="8" t="inlineStr">
        <is>
          <t>Engineering</t>
        </is>
      </c>
      <c r="G478" s="8" t="inlineStr">
        <is>
          <t>NQR</t>
        </is>
      </c>
      <c r="H478" s="8" t="inlineStr">
        <is>
          <t>MS2</t>
        </is>
      </c>
      <c r="I478" s="16" t="n">
        <v>0.1</v>
      </c>
      <c r="J478" s="10">
        <f>Station_BOQ!R18</f>
        <v/>
      </c>
      <c r="K478" s="9">
        <f>I478*62000000*J478</f>
        <v/>
      </c>
      <c r="L478" s="18" t="n">
        <v>0.196</v>
      </c>
      <c r="M478" s="9">
        <f>ROUND(K478*L478,0)</f>
        <v/>
      </c>
      <c r="N478" s="9" t="n">
        <v>66619</v>
      </c>
      <c r="O478" s="9">
        <f>N478-M478</f>
        <v/>
      </c>
      <c r="P478" s="8" t="inlineStr">
        <is>
          <t>MS2 Engineering submittal 10% x station price share 5.48% | Design stage key 19.6% of the engineering-submittal milestone</t>
        </is>
      </c>
      <c r="Q478" s="8" t="inlineStr">
        <is>
          <t>Annex 3 Design and engineering package (railway) allocated by station hardware share</t>
        </is>
      </c>
      <c r="R478" s="9" t="n">
        <v>50</v>
      </c>
      <c r="S478" s="19">
        <f>R478/1000</f>
        <v/>
      </c>
      <c r="T478" s="20" t="n">
        <v>47051</v>
      </c>
      <c r="U478" s="20" t="n">
        <v>47066</v>
      </c>
      <c r="V478" s="8" t="n">
        <v>12</v>
      </c>
    </row>
    <row r="479">
      <c r="A479" s="8" t="inlineStr">
        <is>
          <t>SH-DES</t>
        </is>
      </c>
      <c r="B479" s="8" t="inlineStr">
        <is>
          <t>Design and engineering package (per railway, allocated to the station)</t>
        </is>
      </c>
      <c r="C479" s="8" t="inlineStr">
        <is>
          <t>NQR-E1100</t>
        </is>
      </c>
      <c r="D479" s="8" t="inlineStr">
        <is>
          <t>IFC and shop drawings: SAR approval and release - Al Qurayyat</t>
        </is>
      </c>
      <c r="E479" s="8" t="inlineStr">
        <is>
          <t>ENG.NQR.IFC.APR</t>
        </is>
      </c>
      <c r="F479" s="8" t="inlineStr">
        <is>
          <t>Engineering</t>
        </is>
      </c>
      <c r="G479" s="8" t="inlineStr">
        <is>
          <t>NQR</t>
        </is>
      </c>
      <c r="H479" s="8" t="inlineStr">
        <is>
          <t>MS3</t>
        </is>
      </c>
      <c r="I479" s="16" t="n">
        <v>0.1</v>
      </c>
      <c r="J479" s="10">
        <f>Station_BOQ!R18</f>
        <v/>
      </c>
      <c r="K479" s="9">
        <f>I479*62000000*J479</f>
        <v/>
      </c>
      <c r="L479" s="18" t="n">
        <v>0.2</v>
      </c>
      <c r="M479" s="9">
        <f>ROUND(K479*L479,0)</f>
        <v/>
      </c>
      <c r="N479" s="9" t="n">
        <v>67978</v>
      </c>
      <c r="O479" s="9">
        <f>N479-M479</f>
        <v/>
      </c>
      <c r="P479" s="8" t="inlineStr">
        <is>
          <t>MS3 SAR approval of engineering 10% x station price share 5.48% | Design stage key 20.0% of the SAR-approval milestone</t>
        </is>
      </c>
      <c r="Q479" s="8" t="inlineStr">
        <is>
          <t>Annex 3 Design and engineering package (railway) allocated by station hardware share</t>
        </is>
      </c>
      <c r="R479" s="9" t="n">
        <v>62</v>
      </c>
      <c r="S479" s="19">
        <f>R479/1000</f>
        <v/>
      </c>
      <c r="T479" s="20" t="n">
        <v>47069</v>
      </c>
      <c r="U479" s="20" t="n">
        <v>47087</v>
      </c>
      <c r="V479" s="8" t="n">
        <v>15</v>
      </c>
    </row>
    <row r="480">
      <c r="A480" s="8" t="inlineStr">
        <is>
          <t>SH-DES</t>
        </is>
      </c>
      <c r="B480" s="8" t="inlineStr">
        <is>
          <t>Design and engineering package (per railway, allocated to the station)</t>
        </is>
      </c>
      <c r="C480" s="8" t="inlineStr">
        <is>
          <t>NQR-E1110</t>
        </is>
      </c>
      <c r="D480" s="8" t="inlineStr">
        <is>
          <t>HCIS Stage 3 and 4 documents: preparation - Al Qurayyat</t>
        </is>
      </c>
      <c r="E480" s="8" t="inlineStr">
        <is>
          <t>ENG.NQR.HCS.SUB</t>
        </is>
      </c>
      <c r="F480" s="8" t="inlineStr">
        <is>
          <t>Engineering</t>
        </is>
      </c>
      <c r="G480" s="8" t="inlineStr">
        <is>
          <t>NQR</t>
        </is>
      </c>
      <c r="H480" s="8" t="inlineStr">
        <is>
          <t>MS2</t>
        </is>
      </c>
      <c r="I480" s="16" t="n">
        <v>0.1</v>
      </c>
      <c r="J480" s="10">
        <f>Station_BOQ!R18</f>
        <v/>
      </c>
      <c r="K480" s="9">
        <f>I480*62000000*J480</f>
        <v/>
      </c>
      <c r="L480" s="18" t="n">
        <v>0.049</v>
      </c>
      <c r="M480" s="9">
        <f>ROUND(K480*L480,0)</f>
        <v/>
      </c>
      <c r="N480" s="9" t="n">
        <v>16655</v>
      </c>
      <c r="O480" s="9">
        <f>N480-M480</f>
        <v/>
      </c>
      <c r="P480" s="8" t="inlineStr">
        <is>
          <t>MS2 Engineering submittal 10% x station price share 5.48% | Design stage key 4.9% of the engineering-submittal milestone</t>
        </is>
      </c>
      <c r="Q480" s="8" t="inlineStr">
        <is>
          <t>Annex 3 Design and engineering package (railway) allocated by station hardware share</t>
        </is>
      </c>
      <c r="R480" s="9" t="n">
        <v>24</v>
      </c>
      <c r="S480" s="19">
        <f>R480/1000</f>
        <v/>
      </c>
      <c r="T480" s="20" t="n">
        <v>47029</v>
      </c>
      <c r="U480" s="20" t="n">
        <v>47066</v>
      </c>
      <c r="V480" s="8" t="n">
        <v>28</v>
      </c>
    </row>
    <row r="481">
      <c r="A481" s="8" t="inlineStr">
        <is>
          <t>SH-DES</t>
        </is>
      </c>
      <c r="B481" s="8" t="inlineStr">
        <is>
          <t>Design and engineering package (per railway, allocated to the station)</t>
        </is>
      </c>
      <c r="C481" s="8" t="inlineStr">
        <is>
          <t>NQR-E1120</t>
        </is>
      </c>
      <c r="D481" s="8" t="inlineStr">
        <is>
          <t>HCIS Stage 3 and 4 documents: SAR final review and HCIS submission - Al Qurayyat</t>
        </is>
      </c>
      <c r="E481" s="8" t="inlineStr">
        <is>
          <t>ENG.NQR.HCS.APR</t>
        </is>
      </c>
      <c r="F481" s="8" t="inlineStr">
        <is>
          <t>Engineering</t>
        </is>
      </c>
      <c r="G481" s="8" t="inlineStr">
        <is>
          <t>NQR</t>
        </is>
      </c>
      <c r="H481" s="8" t="inlineStr">
        <is>
          <t>MS3</t>
        </is>
      </c>
      <c r="I481" s="16" t="n">
        <v>0.1</v>
      </c>
      <c r="J481" s="10">
        <f>Station_BOQ!R18</f>
        <v/>
      </c>
      <c r="K481" s="9">
        <f>I481*62000000*J481</f>
        <v/>
      </c>
      <c r="L481" s="18" t="n">
        <v>0.05</v>
      </c>
      <c r="M481" s="9">
        <f>ROUND(K481*L481,0)</f>
        <v/>
      </c>
      <c r="N481" s="9" t="n">
        <v>16995</v>
      </c>
      <c r="O481" s="9">
        <f>N481-M481</f>
        <v/>
      </c>
      <c r="P481" s="8" t="inlineStr">
        <is>
          <t>MS3 SAR approval of engineering 10% x station price share 5.48% | Design stage key 5.0% of the SAR-approval milestone</t>
        </is>
      </c>
      <c r="Q481" s="8" t="inlineStr">
        <is>
          <t>Annex 3 Design and engineering package (railway) allocated by station hardware share</t>
        </is>
      </c>
      <c r="R481" s="9" t="n">
        <v>13</v>
      </c>
      <c r="S481" s="19">
        <f>R481/1000</f>
        <v/>
      </c>
      <c r="T481" s="20" t="n">
        <v>47069</v>
      </c>
      <c r="U481" s="20" t="n">
        <v>47087</v>
      </c>
      <c r="V481" s="8" t="n">
        <v>15</v>
      </c>
    </row>
    <row r="482">
      <c r="A482" s="8" t="inlineStr">
        <is>
          <t>SH-DES, SH-TRN</t>
        </is>
      </c>
      <c r="B482" s="8" t="inlineStr">
        <is>
          <t>Design and engineering package (per railway, allocated to the station) and Training (per railway, allocated): documentation and training share</t>
        </is>
      </c>
      <c r="C482" s="8" t="inlineStr">
        <is>
          <t>NQR-E1130</t>
        </is>
      </c>
      <c r="D482" s="8" t="inlineStr">
        <is>
          <t>As-built and O&amp;M documentation: submittal - Al Qurayyat</t>
        </is>
      </c>
      <c r="E482" s="8" t="inlineStr">
        <is>
          <t>ENG.NQR.ASB.SUB</t>
        </is>
      </c>
      <c r="F482" s="8" t="inlineStr">
        <is>
          <t>Engineering</t>
        </is>
      </c>
      <c r="G482" s="8" t="inlineStr">
        <is>
          <t>NQR</t>
        </is>
      </c>
      <c r="H482" s="8" t="inlineStr">
        <is>
          <t>MS7</t>
        </is>
      </c>
      <c r="I482" s="16" t="n">
        <v>0.1</v>
      </c>
      <c r="J482" s="10">
        <f>Station_BOQ!R18</f>
        <v/>
      </c>
      <c r="K482" s="9">
        <f>I482*62000000*J482</f>
        <v/>
      </c>
      <c r="L482" s="18" t="n">
        <v>0.15</v>
      </c>
      <c r="M482" s="9">
        <f>ROUND(K482*L482,0)</f>
        <v/>
      </c>
      <c r="N482" s="9" t="n">
        <v>50984</v>
      </c>
      <c r="O482" s="9">
        <f>N482-M482</f>
        <v/>
      </c>
      <c r="P482" s="8" t="inlineStr">
        <is>
          <t>MS7 Final acceptance and handover 10% x station price share 5.48% | Fixed key 15% of final-acceptance milestone</t>
        </is>
      </c>
      <c r="Q482" s="8" t="inlineStr">
        <is>
          <t>Annex 3 documentation and training share</t>
        </is>
      </c>
      <c r="R482" s="9" t="n">
        <v>40</v>
      </c>
      <c r="S482" s="19">
        <f>R482/1000</f>
        <v/>
      </c>
      <c r="T482" s="20" t="n">
        <v>47283</v>
      </c>
      <c r="U482" s="20" t="n">
        <v>47322</v>
      </c>
      <c r="V482" s="8" t="n">
        <v>28</v>
      </c>
    </row>
    <row r="483">
      <c r="A483" s="8" t="inlineStr">
        <is>
          <t>SH-DES</t>
        </is>
      </c>
      <c r="B483" s="8" t="inlineStr">
        <is>
          <t>Design and engineering package (per railway, allocated to the station): documentation share</t>
        </is>
      </c>
      <c r="C483" s="8" t="inlineStr">
        <is>
          <t>NQR-E1140</t>
        </is>
      </c>
      <c r="D483" s="8" t="inlineStr">
        <is>
          <t>As-built and O&amp;M documentation: SAR review and approval - Al Qurayyat</t>
        </is>
      </c>
      <c r="E483" s="8" t="inlineStr">
        <is>
          <t>ENG.NQR.ASB.APR</t>
        </is>
      </c>
      <c r="F483" s="8" t="inlineStr">
        <is>
          <t>Engineering</t>
        </is>
      </c>
      <c r="G483" s="8" t="inlineStr">
        <is>
          <t>NQR</t>
        </is>
      </c>
      <c r="H483" s="8" t="inlineStr">
        <is>
          <t>MS7</t>
        </is>
      </c>
      <c r="I483" s="16" t="n">
        <v>0.1</v>
      </c>
      <c r="J483" s="10">
        <f>Station_BOQ!R18</f>
        <v/>
      </c>
      <c r="K483" s="9">
        <f>I483*62000000*J483</f>
        <v/>
      </c>
      <c r="L483" s="18" t="n">
        <v>0.05</v>
      </c>
      <c r="M483" s="9">
        <f>ROUND(K483*L483,0)</f>
        <v/>
      </c>
      <c r="N483" s="9" t="n">
        <v>16995</v>
      </c>
      <c r="O483" s="9">
        <f>N483-M483</f>
        <v/>
      </c>
      <c r="P483" s="8" t="inlineStr">
        <is>
          <t>MS7 Final acceptance and handover 10% x station price share 5.48% | Fixed key 5%</t>
        </is>
      </c>
      <c r="Q483" s="8" t="inlineStr">
        <is>
          <t>Annex 3 documentation share</t>
        </is>
      </c>
      <c r="R483" s="9" t="n">
        <v>22</v>
      </c>
      <c r="S483" s="19">
        <f>R483/1000</f>
        <v/>
      </c>
      <c r="T483" s="20" t="n">
        <v>47323</v>
      </c>
      <c r="U483" s="20" t="n">
        <v>47343</v>
      </c>
      <c r="V483" s="8" t="n">
        <v>15</v>
      </c>
    </row>
    <row r="484">
      <c r="A484" s="8" t="inlineStr">
        <is>
          <t>-</t>
        </is>
      </c>
      <c r="B484" s="8" t="inlineStr">
        <is>
          <t>No BOQ cost: administrative or review step with no payment milestone</t>
        </is>
      </c>
      <c r="C484" s="8" t="inlineStr">
        <is>
          <t>NQR-X1010</t>
        </is>
      </c>
      <c r="D484" s="8" t="inlineStr">
        <is>
          <t>Enabling works: site preparation, setting out, temporary works and utilities clearance - Al Qurayyat</t>
        </is>
      </c>
      <c r="E484" s="8" t="inlineStr">
        <is>
          <t>CON.NQR.ENA</t>
        </is>
      </c>
      <c r="F484" s="8" t="inlineStr">
        <is>
          <t>Construction</t>
        </is>
      </c>
      <c r="G484" s="8" t="inlineStr">
        <is>
          <t>NQR</t>
        </is>
      </c>
      <c r="H484" s="8" t="inlineStr">
        <is>
          <t>MS5</t>
        </is>
      </c>
      <c r="I484" s="16" t="n">
        <v>0.2</v>
      </c>
      <c r="J484" s="10">
        <f>Station_BOQ!R18</f>
        <v/>
      </c>
      <c r="K484" s="9">
        <f>I484*62000000*J484</f>
        <v/>
      </c>
      <c r="L484" s="18" t="n">
        <v>0.0124039217219117</v>
      </c>
      <c r="M484" s="9">
        <f>ROUND(K484*L484,0)</f>
        <v/>
      </c>
      <c r="N484" s="9" t="n">
        <v>8432</v>
      </c>
      <c r="O484" s="9">
        <f>N484-M484</f>
        <v/>
      </c>
      <c r="P484" s="8" t="inlineStr">
        <is>
          <t>MS5 Installation 20% x station price share 5.48% | BOQ civil share 31.0% x 4% (enabling: site preparation)</t>
        </is>
      </c>
      <c r="Q484" s="8" t="inlineStr">
        <is>
          <t>Annex 3 A6 Civil works (SAR 745,743)</t>
        </is>
      </c>
      <c r="R484" s="9" t="n">
        <v>53</v>
      </c>
      <c r="S484" s="19">
        <f>R484/1000</f>
        <v/>
      </c>
      <c r="T484" s="20" t="n">
        <v>47090</v>
      </c>
      <c r="U484" s="20" t="n">
        <v>47094</v>
      </c>
      <c r="V484" s="8" t="n">
        <v>5</v>
      </c>
    </row>
    <row r="485">
      <c r="A485" s="8" t="inlineStr">
        <is>
          <t>-</t>
        </is>
      </c>
      <c r="B485" s="8" t="inlineStr">
        <is>
          <t>No BOQ cost: administrative or review step with no payment milestone</t>
        </is>
      </c>
      <c r="C485" s="8" t="inlineStr">
        <is>
          <t>NQR-X1020</t>
        </is>
      </c>
      <c r="D485" s="8" t="inlineStr">
        <is>
          <t>Enabling works: cable routes, duct-bank and cabinet plinth preparation - Al Qurayyat</t>
        </is>
      </c>
      <c r="E485" s="8" t="inlineStr">
        <is>
          <t>CON.NQR.ENA</t>
        </is>
      </c>
      <c r="F485" s="8" t="inlineStr">
        <is>
          <t>Construction</t>
        </is>
      </c>
      <c r="G485" s="8" t="inlineStr">
        <is>
          <t>NQR</t>
        </is>
      </c>
      <c r="H485" s="8" t="inlineStr">
        <is>
          <t>MS5</t>
        </is>
      </c>
      <c r="I485" s="16" t="n">
        <v>0.2</v>
      </c>
      <c r="J485" s="10">
        <f>Station_BOQ!R18</f>
        <v/>
      </c>
      <c r="K485" s="9">
        <f>I485*62000000*J485</f>
        <v/>
      </c>
      <c r="L485" s="18" t="n">
        <v>0.01860588258286754</v>
      </c>
      <c r="M485" s="9">
        <f>ROUND(K485*L485,0)</f>
        <v/>
      </c>
      <c r="N485" s="9" t="n">
        <v>12648</v>
      </c>
      <c r="O485" s="9">
        <f>N485-M485</f>
        <v/>
      </c>
      <c r="P485" s="8" t="inlineStr">
        <is>
          <t>MS5 Installation 20% x station price share 5.48% | BOQ civil share 31.0% x 6% (enabling: routes, ducts, plinths)</t>
        </is>
      </c>
      <c r="Q485" s="8" t="inlineStr">
        <is>
          <t>Annex 3 A6 Civil works (SAR 745,743)</t>
        </is>
      </c>
      <c r="R485" s="9" t="n">
        <v>79</v>
      </c>
      <c r="S485" s="19">
        <f>R485/1000</f>
        <v/>
      </c>
      <c r="T485" s="20" t="n">
        <v>47097</v>
      </c>
      <c r="U485" s="20" t="n">
        <v>47108</v>
      </c>
      <c r="V485" s="8" t="n">
        <v>10</v>
      </c>
    </row>
    <row r="486">
      <c r="A486" s="8" t="inlineStr">
        <is>
          <t>A1</t>
        </is>
      </c>
      <c r="B486" s="8" t="inlineStr">
        <is>
          <t>A1 CCTV system</t>
        </is>
      </c>
      <c r="C486" s="8" t="inlineStr">
        <is>
          <t>NQR-P1010</t>
        </is>
      </c>
      <c r="D486" s="8" t="inlineStr">
        <is>
          <t>Manufacture CCTV cameras and analytics - Al Qurayyat</t>
        </is>
      </c>
      <c r="E486" s="8" t="inlineStr">
        <is>
          <t>PRO.NQR.CCT</t>
        </is>
      </c>
      <c r="F486" s="8" t="inlineStr">
        <is>
          <t>Procurement</t>
        </is>
      </c>
      <c r="G486" s="8" t="inlineStr">
        <is>
          <t>NQR</t>
        </is>
      </c>
      <c r="H486" s="8" t="inlineStr">
        <is>
          <t>MS4</t>
        </is>
      </c>
      <c r="I486" s="16" t="n">
        <v>0.2</v>
      </c>
      <c r="J486" s="10">
        <f>Station_BOQ!R18</f>
        <v/>
      </c>
      <c r="K486" s="9">
        <f>I486*62000000*J486</f>
        <v/>
      </c>
      <c r="L486" s="18" t="n">
        <v>0.1532390081724096</v>
      </c>
      <c r="M486" s="9">
        <f>ROUND(K486*L486,0)</f>
        <v/>
      </c>
      <c r="N486" s="9" t="n">
        <v>104169</v>
      </c>
      <c r="O486" s="9">
        <f>N486-M486</f>
        <v/>
      </c>
      <c r="P486" s="8" t="inlineStr">
        <is>
          <t>MS4 Material delivery 20% x station price share 5.48% | BOQ section share 20.4% of station equipment x 75% (manufacture)</t>
        </is>
      </c>
      <c r="Q486" s="8" t="inlineStr">
        <is>
          <t>Annex 3 A1 CCTV system (SAR 338,989)</t>
        </is>
      </c>
      <c r="R486" s="9" t="n">
        <v>258</v>
      </c>
      <c r="S486" s="19">
        <f>R486/1000</f>
        <v/>
      </c>
      <c r="T486" s="20" t="n">
        <v>47090</v>
      </c>
      <c r="U486" s="20" t="n">
        <v>47154</v>
      </c>
      <c r="V486" s="8" t="n">
        <v>47</v>
      </c>
    </row>
    <row r="487">
      <c r="A487" s="8" t="inlineStr">
        <is>
          <t>A2</t>
        </is>
      </c>
      <c r="B487" s="8" t="inlineStr">
        <is>
          <t>A2 Video management and video wall</t>
        </is>
      </c>
      <c r="C487" s="8" t="inlineStr">
        <is>
          <t>NQR-P1020</t>
        </is>
      </c>
      <c r="D487" s="8" t="inlineStr">
        <is>
          <t>Manufacture video management servers, storage and video wall - Al Qurayyat</t>
        </is>
      </c>
      <c r="E487" s="8" t="inlineStr">
        <is>
          <t>PRO.NQR.VMS</t>
        </is>
      </c>
      <c r="F487" s="8" t="inlineStr">
        <is>
          <t>Procurement</t>
        </is>
      </c>
      <c r="G487" s="8" t="inlineStr">
        <is>
          <t>NQR</t>
        </is>
      </c>
      <c r="H487" s="8" t="inlineStr">
        <is>
          <t>MS4</t>
        </is>
      </c>
      <c r="I487" s="16" t="n">
        <v>0.2</v>
      </c>
      <c r="J487" s="10">
        <f>Station_BOQ!R18</f>
        <v/>
      </c>
      <c r="K487" s="9">
        <f>I487*62000000*J487</f>
        <v/>
      </c>
      <c r="L487" s="18" t="n">
        <v>0.1623821136398294</v>
      </c>
      <c r="M487" s="9">
        <f>ROUND(K487*L487,0)</f>
        <v/>
      </c>
      <c r="N487" s="9" t="n">
        <v>110385</v>
      </c>
      <c r="O487" s="9">
        <f>N487-M487</f>
        <v/>
      </c>
      <c r="P487" s="8" t="inlineStr">
        <is>
          <t>MS4 Material delivery 20% x station price share 5.48% | BOQ section share 21.7% of station equipment x 75% (manufacture)</t>
        </is>
      </c>
      <c r="Q487" s="8" t="inlineStr">
        <is>
          <t>Annex 3 A2 Video management and wall (SAR 359,215)</t>
        </is>
      </c>
      <c r="R487" s="9" t="n">
        <v>273</v>
      </c>
      <c r="S487" s="19">
        <f>R487/1000</f>
        <v/>
      </c>
      <c r="T487" s="20" t="n">
        <v>47090</v>
      </c>
      <c r="U487" s="20" t="n">
        <v>47154</v>
      </c>
      <c r="V487" s="8" t="n">
        <v>47</v>
      </c>
    </row>
    <row r="488">
      <c r="A488" s="8" t="inlineStr">
        <is>
          <t>A3</t>
        </is>
      </c>
      <c r="B488" s="8" t="inlineStr">
        <is>
          <t>A3 Access control and intercom</t>
        </is>
      </c>
      <c r="C488" s="8" t="inlineStr">
        <is>
          <t>NQR-P1030</t>
        </is>
      </c>
      <c r="D488" s="8" t="inlineStr">
        <is>
          <t>Manufacture access control and intercom equipment - Al Qurayyat</t>
        </is>
      </c>
      <c r="E488" s="8" t="inlineStr">
        <is>
          <t>PRO.NQR.ACC</t>
        </is>
      </c>
      <c r="F488" s="8" t="inlineStr">
        <is>
          <t>Procurement</t>
        </is>
      </c>
      <c r="G488" s="8" t="inlineStr">
        <is>
          <t>NQR</t>
        </is>
      </c>
      <c r="H488" s="8" t="inlineStr">
        <is>
          <t>MS4</t>
        </is>
      </c>
      <c r="I488" s="16" t="n">
        <v>0.2</v>
      </c>
      <c r="J488" s="10">
        <f>Station_BOQ!R18</f>
        <v/>
      </c>
      <c r="K488" s="9">
        <f>I488*62000000*J488</f>
        <v/>
      </c>
      <c r="L488" s="18" t="n">
        <v>0.01992849819693464</v>
      </c>
      <c r="M488" s="9">
        <f>ROUND(K488*L488,0)</f>
        <v/>
      </c>
      <c r="N488" s="9" t="n">
        <v>13547</v>
      </c>
      <c r="O488" s="9">
        <f>N488-M488</f>
        <v/>
      </c>
      <c r="P488" s="8" t="inlineStr">
        <is>
          <t>MS4 Material delivery 20% x station price share 5.48% | BOQ section share 2.7% of station equipment x 75% (manufacture)</t>
        </is>
      </c>
      <c r="Q488" s="8" t="inlineStr">
        <is>
          <t>Annex 3 A3 Access control and intercom (SAR 44,085)</t>
        </is>
      </c>
      <c r="R488" s="9" t="n">
        <v>34</v>
      </c>
      <c r="S488" s="19">
        <f>R488/1000</f>
        <v/>
      </c>
      <c r="T488" s="20" t="n">
        <v>47090</v>
      </c>
      <c r="U488" s="20" t="n">
        <v>47154</v>
      </c>
      <c r="V488" s="8" t="n">
        <v>47</v>
      </c>
    </row>
    <row r="489">
      <c r="A489" s="8" t="inlineStr">
        <is>
          <t>A4, A5</t>
        </is>
      </c>
      <c r="B489" s="8" t="inlineStr">
        <is>
          <t>A4 UPS and A5 Poles, cabinets and network</t>
        </is>
      </c>
      <c r="C489" s="8" t="inlineStr">
        <is>
          <t>NQR-P1040</t>
        </is>
      </c>
      <c r="D489" s="8" t="inlineStr">
        <is>
          <t>Manufacture UPS, network switches and field cabinets - Al Qurayyat</t>
        </is>
      </c>
      <c r="E489" s="8" t="inlineStr">
        <is>
          <t>PRO.NQR.UPN</t>
        </is>
      </c>
      <c r="F489" s="8" t="inlineStr">
        <is>
          <t>Procurement</t>
        </is>
      </c>
      <c r="G489" s="8" t="inlineStr">
        <is>
          <t>NQR</t>
        </is>
      </c>
      <c r="H489" s="8" t="inlineStr">
        <is>
          <t>MS4</t>
        </is>
      </c>
      <c r="I489" s="16" t="n">
        <v>0.2</v>
      </c>
      <c r="J489" s="10">
        <f>Station_BOQ!R18</f>
        <v/>
      </c>
      <c r="K489" s="9">
        <f>I489*62000000*J489</f>
        <v/>
      </c>
      <c r="L489" s="18" t="n">
        <v>0.4144503799908265</v>
      </c>
      <c r="M489" s="9">
        <f>ROUND(K489*L489,0)</f>
        <v/>
      </c>
      <c r="N489" s="9" t="n">
        <v>281736</v>
      </c>
      <c r="O489" s="9">
        <f>N489-M489</f>
        <v/>
      </c>
      <c r="P489" s="8" t="inlineStr">
        <is>
          <t>MS4 Material delivery 20% x station price share 5.48% | BOQ section share 55.3% of station equipment x 75% (manufacture)</t>
        </is>
      </c>
      <c r="Q489" s="8" t="inlineStr">
        <is>
          <t>Annex 3 A4 UPS + A5 poles, cabinets and network (SAR 916,830)</t>
        </is>
      </c>
      <c r="R489" s="9" t="n">
        <v>698</v>
      </c>
      <c r="S489" s="19">
        <f>R489/1000</f>
        <v/>
      </c>
      <c r="T489" s="20" t="n">
        <v>47090</v>
      </c>
      <c r="U489" s="20" t="n">
        <v>47154</v>
      </c>
      <c r="V489" s="8" t="n">
        <v>47</v>
      </c>
    </row>
    <row r="490">
      <c r="A490" s="8" t="inlineStr">
        <is>
          <t>SH-FAT</t>
        </is>
      </c>
      <c r="B490" s="8" t="inlineStr">
        <is>
          <t>Factory acceptance test (per railway, allocated)</t>
        </is>
      </c>
      <c r="C490" s="8" t="inlineStr">
        <is>
          <t>NQR-P1050</t>
        </is>
      </c>
      <c r="D490" s="8" t="inlineStr">
        <is>
          <t>Factory acceptance test at vendor premises - Al Qurayyat</t>
        </is>
      </c>
      <c r="E490" s="8" t="inlineStr">
        <is>
          <t>PRO.NQR.LOG</t>
        </is>
      </c>
      <c r="F490" s="8" t="inlineStr">
        <is>
          <t>Procurement</t>
        </is>
      </c>
      <c r="G490" s="8" t="inlineStr">
        <is>
          <t>NQR</t>
        </is>
      </c>
      <c r="H490" s="8" t="inlineStr">
        <is>
          <t>MS4</t>
        </is>
      </c>
      <c r="I490" s="16" t="n">
        <v>0.2</v>
      </c>
      <c r="J490" s="10">
        <f>Station_BOQ!R18</f>
        <v/>
      </c>
      <c r="K490" s="9">
        <f>I490*62000000*J490</f>
        <v/>
      </c>
      <c r="L490" s="18" t="n">
        <v>0.05</v>
      </c>
      <c r="M490" s="9">
        <f>ROUND(K490*L490,0)</f>
        <v/>
      </c>
      <c r="N490" s="9" t="n">
        <v>33989</v>
      </c>
      <c r="O490" s="9">
        <f>N490-M490</f>
        <v/>
      </c>
      <c r="P490" s="8" t="inlineStr">
        <is>
          <t>MS4 Material delivery 20% x station price share 5.48% | Fixed key 5% (FAT)</t>
        </is>
      </c>
      <c r="Q490" s="8" t="inlineStr">
        <is>
          <t>Annex 3 Factory acceptance test (railway), allocated by hardware share</t>
        </is>
      </c>
      <c r="R490" s="9" t="n">
        <v>211</v>
      </c>
      <c r="S490" s="19">
        <f>R490/1000</f>
        <v/>
      </c>
      <c r="T490" s="20" t="n">
        <v>47155</v>
      </c>
      <c r="U490" s="20" t="n">
        <v>47176</v>
      </c>
      <c r="V490" s="8" t="n">
        <v>10</v>
      </c>
    </row>
    <row r="491">
      <c r="A491" s="8" t="inlineStr">
        <is>
          <t>A1-A5</t>
        </is>
      </c>
      <c r="B491" s="8" t="inlineStr">
        <is>
          <t>A1 to A5 equipment sections: logistics (shipping, customs, delivery) share</t>
        </is>
      </c>
      <c r="C491" s="8" t="inlineStr">
        <is>
          <t>NQR-P1060</t>
        </is>
      </c>
      <c r="D491" s="8" t="inlineStr">
        <is>
          <t>Shipping and customs clearance - Al Qurayyat</t>
        </is>
      </c>
      <c r="E491" s="8" t="inlineStr">
        <is>
          <t>PRO.NQR.LOG</t>
        </is>
      </c>
      <c r="F491" s="8" t="inlineStr">
        <is>
          <t>Procurement</t>
        </is>
      </c>
      <c r="G491" s="8" t="inlineStr">
        <is>
          <t>NQR</t>
        </is>
      </c>
      <c r="H491" s="8" t="inlineStr">
        <is>
          <t>MS4</t>
        </is>
      </c>
      <c r="I491" s="16" t="n">
        <v>0.2</v>
      </c>
      <c r="J491" s="10">
        <f>Station_BOQ!R18</f>
        <v/>
      </c>
      <c r="K491" s="9">
        <f>I491*62000000*J491</f>
        <v/>
      </c>
      <c r="L491" s="18" t="n">
        <v>0.15</v>
      </c>
      <c r="M491" s="9">
        <f>ROUND(K491*L491,0)</f>
        <v/>
      </c>
      <c r="N491" s="9" t="n">
        <v>101967</v>
      </c>
      <c r="O491" s="9">
        <f>N491-M491</f>
        <v/>
      </c>
      <c r="P491" s="8" t="inlineStr">
        <is>
          <t>MS4 Material delivery 20% x station price share 5.48% | Fixed key 15% (shipping and customs)</t>
        </is>
      </c>
      <c r="Q491" s="8" t="inlineStr">
        <is>
          <t>Annex 3 equipment sections A1-A5 (logistics share)</t>
        </is>
      </c>
      <c r="R491" s="9" t="n">
        <v>421</v>
      </c>
      <c r="S491" s="19">
        <f>R491/1000</f>
        <v/>
      </c>
      <c r="T491" s="20" t="n">
        <v>47177</v>
      </c>
      <c r="U491" s="20" t="n">
        <v>47206</v>
      </c>
      <c r="V491" s="8" t="n">
        <v>22</v>
      </c>
    </row>
    <row r="492">
      <c r="A492" s="8" t="inlineStr">
        <is>
          <t>SH-SPR</t>
        </is>
      </c>
      <c r="B492" s="8" t="inlineStr">
        <is>
          <t>Commissioning spares (per railway, allocated)</t>
        </is>
      </c>
      <c r="C492" s="8" t="inlineStr">
        <is>
          <t>NQR-P1070</t>
        </is>
      </c>
      <c r="D492" s="8" t="inlineStr">
        <is>
          <t>Delivery to station and receiving inspection - Al Qurayyat</t>
        </is>
      </c>
      <c r="E492" s="8" t="inlineStr">
        <is>
          <t>PRO.NQR.LOG</t>
        </is>
      </c>
      <c r="F492" s="8" t="inlineStr">
        <is>
          <t>Procurement</t>
        </is>
      </c>
      <c r="G492" s="8" t="inlineStr">
        <is>
          <t>NQR</t>
        </is>
      </c>
      <c r="H492" s="8" t="inlineStr">
        <is>
          <t>MS4</t>
        </is>
      </c>
      <c r="I492" s="16" t="n">
        <v>0.2</v>
      </c>
      <c r="J492" s="10">
        <f>Station_BOQ!R18</f>
        <v/>
      </c>
      <c r="K492" s="9">
        <f>I492*62000000*J492</f>
        <v/>
      </c>
      <c r="L492" s="18" t="n">
        <v>0.05</v>
      </c>
      <c r="M492" s="9">
        <f>ROUND(K492*L492,0)</f>
        <v/>
      </c>
      <c r="N492" s="9" t="n">
        <v>33989</v>
      </c>
      <c r="O492" s="9">
        <f>N492-M492</f>
        <v/>
      </c>
      <c r="P492" s="8" t="inlineStr">
        <is>
          <t>MS4 Material delivery 20% x station price share 5.48% | Fixed key 5% (delivery, receiving) incl. commissioning spares</t>
        </is>
      </c>
      <c r="Q492" s="8" t="inlineStr">
        <is>
          <t>Annex 3 Commissioning spares (railway), allocated by hardware share</t>
        </is>
      </c>
      <c r="R492" s="9" t="n">
        <v>211</v>
      </c>
      <c r="S492" s="19">
        <f>R492/1000</f>
        <v/>
      </c>
      <c r="T492" s="20" t="n">
        <v>47209</v>
      </c>
      <c r="U492" s="20" t="n">
        <v>47213</v>
      </c>
      <c r="V492" s="8" t="n">
        <v>5</v>
      </c>
    </row>
    <row r="493">
      <c r="A493" s="8" t="inlineStr">
        <is>
          <t>A6</t>
        </is>
      </c>
      <c r="B493" s="8" t="inlineStr">
        <is>
          <t>A6 Civil works</t>
        </is>
      </c>
      <c r="C493" s="8" t="inlineStr">
        <is>
          <t>NQR-C1010</t>
        </is>
      </c>
      <c r="D493" s="8" t="inlineStr">
        <is>
          <t>Civil: platform trenches and duct banks - Al Qurayyat</t>
        </is>
      </c>
      <c r="E493" s="8" t="inlineStr">
        <is>
          <t>CON.NQR.CIV</t>
        </is>
      </c>
      <c r="F493" s="8" t="inlineStr">
        <is>
          <t>Construction</t>
        </is>
      </c>
      <c r="G493" s="8" t="inlineStr">
        <is>
          <t>NQR</t>
        </is>
      </c>
      <c r="H493" s="8" t="inlineStr">
        <is>
          <t>MS5</t>
        </is>
      </c>
      <c r="I493" s="16" t="n">
        <v>0.2</v>
      </c>
      <c r="J493" s="10">
        <f>Station_BOQ!R18</f>
        <v/>
      </c>
      <c r="K493" s="9">
        <f>I493*62000000*J493</f>
        <v/>
      </c>
      <c r="L493" s="18" t="n">
        <v>0.1550490215238962</v>
      </c>
      <c r="M493" s="9">
        <f>ROUND(K493*L493,0)</f>
        <v/>
      </c>
      <c r="N493" s="9" t="n">
        <v>105400</v>
      </c>
      <c r="O493" s="9">
        <f>N493-M493</f>
        <v/>
      </c>
      <c r="P493" s="8" t="inlineStr">
        <is>
          <t>MS5 Installation 20% x station price share 5.48% | BOQ civil share 31.0% x 50% (trenches and duct banks)</t>
        </is>
      </c>
      <c r="Q493" s="8" t="inlineStr">
        <is>
          <t>Annex 3 A6 Civil works (SAR 745,743)</t>
        </is>
      </c>
      <c r="R493" s="9" t="n">
        <v>342</v>
      </c>
      <c r="S493" s="19">
        <f>R493/1000</f>
        <v/>
      </c>
      <c r="T493" s="20" t="n">
        <v>47111</v>
      </c>
      <c r="U493" s="20" t="n">
        <v>47197</v>
      </c>
      <c r="V493" s="8" t="n">
        <v>57</v>
      </c>
    </row>
    <row r="494">
      <c r="A494" s="8" t="inlineStr">
        <is>
          <t>A6</t>
        </is>
      </c>
      <c r="B494" s="8" t="inlineStr">
        <is>
          <t>A6 Civil works</t>
        </is>
      </c>
      <c r="C494" s="8" t="inlineStr">
        <is>
          <t>NQR-C1020</t>
        </is>
      </c>
      <c r="D494" s="8" t="inlineStr">
        <is>
          <t>Civil: camera and ALPR pole foundations and poles - Al Qurayyat</t>
        </is>
      </c>
      <c r="E494" s="8" t="inlineStr">
        <is>
          <t>CON.NQR.CIV</t>
        </is>
      </c>
      <c r="F494" s="8" t="inlineStr">
        <is>
          <t>Construction</t>
        </is>
      </c>
      <c r="G494" s="8" t="inlineStr">
        <is>
          <t>NQR</t>
        </is>
      </c>
      <c r="H494" s="8" t="inlineStr">
        <is>
          <t>MS5</t>
        </is>
      </c>
      <c r="I494" s="16" t="n">
        <v>0.2</v>
      </c>
      <c r="J494" s="10">
        <f>Station_BOQ!R18</f>
        <v/>
      </c>
      <c r="K494" s="9">
        <f>I494*62000000*J494</f>
        <v/>
      </c>
      <c r="L494" s="18" t="n">
        <v>0.124039217219117</v>
      </c>
      <c r="M494" s="9">
        <f>ROUND(K494*L494,0)</f>
        <v/>
      </c>
      <c r="N494" s="9" t="n">
        <v>84320</v>
      </c>
      <c r="O494" s="9">
        <f>N494-M494</f>
        <v/>
      </c>
      <c r="P494" s="8" t="inlineStr">
        <is>
          <t>MS5 Installation 20% x station price share 5.48% | BOQ civil share 31.0% x 40% (poles)</t>
        </is>
      </c>
      <c r="Q494" s="8" t="inlineStr">
        <is>
          <t>Annex 3 A6 Civil works (SAR 745,743)</t>
        </is>
      </c>
      <c r="R494" s="9" t="n">
        <v>263</v>
      </c>
      <c r="S494" s="19">
        <f>R494/1000</f>
        <v/>
      </c>
      <c r="T494" s="20" t="n">
        <v>47169</v>
      </c>
      <c r="U494" s="20" t="n">
        <v>47239</v>
      </c>
      <c r="V494" s="8" t="n">
        <v>45</v>
      </c>
    </row>
    <row r="495">
      <c r="A495" s="8" t="inlineStr">
        <is>
          <t>A1-A5</t>
        </is>
      </c>
      <c r="B495" s="8" t="inlineStr">
        <is>
          <t>A1 to A5 equipment sections: installation share (works included in unit prices)</t>
        </is>
      </c>
      <c r="C495" s="8" t="inlineStr">
        <is>
          <t>NQR-C2010</t>
        </is>
      </c>
      <c r="D495" s="8" t="inlineStr">
        <is>
          <t>Install UPS, network switches and field cabinets - Al Qurayyat</t>
        </is>
      </c>
      <c r="E495" s="8" t="inlineStr">
        <is>
          <t>CON.NQR.INS</t>
        </is>
      </c>
      <c r="F495" s="8" t="inlineStr">
        <is>
          <t>Construction</t>
        </is>
      </c>
      <c r="G495" s="8" t="inlineStr">
        <is>
          <t>NQR</t>
        </is>
      </c>
      <c r="H495" s="8" t="inlineStr">
        <is>
          <t>MS5</t>
        </is>
      </c>
      <c r="I495" s="16" t="n">
        <v>0.2</v>
      </c>
      <c r="J495" s="10">
        <f>Station_BOQ!R18</f>
        <v/>
      </c>
      <c r="K495" s="9">
        <f>I495*62000000*J495</f>
        <v/>
      </c>
      <c r="L495" s="18" t="n">
        <v>0.1379803913904415</v>
      </c>
      <c r="M495" s="9">
        <f>ROUND(K495*L495,0)</f>
        <v/>
      </c>
      <c r="N495" s="9" t="n">
        <v>93797</v>
      </c>
      <c r="O495" s="9">
        <f>N495-M495</f>
        <v/>
      </c>
      <c r="P495" s="8" t="inlineStr">
        <is>
          <t>MS5 Installation 20% x station price share 5.48% | Installation key 20% x (1 - civil share 31.0%)</t>
        </is>
      </c>
      <c r="Q495" s="8" t="inlineStr">
        <is>
          <t>Annex 3 equipment sections A1-A5 (installation share)</t>
        </is>
      </c>
      <c r="R495" s="9" t="n">
        <v>158</v>
      </c>
      <c r="S495" s="19">
        <f>R495/1000</f>
        <v/>
      </c>
      <c r="T495" s="20" t="n">
        <v>47216</v>
      </c>
      <c r="U495" s="20" t="n">
        <v>47239</v>
      </c>
      <c r="V495" s="8" t="n">
        <v>13</v>
      </c>
    </row>
    <row r="496">
      <c r="A496" s="8" t="inlineStr">
        <is>
          <t>A1-A5</t>
        </is>
      </c>
      <c r="B496" s="8" t="inlineStr">
        <is>
          <t>A1 to A5 equipment sections: installation share (works included in unit prices)</t>
        </is>
      </c>
      <c r="C496" s="8" t="inlineStr">
        <is>
          <t>NQR-C2020</t>
        </is>
      </c>
      <c r="D496" s="8" t="inlineStr">
        <is>
          <t>Cabling and termination (power, fibre, data) - Al Qurayyat</t>
        </is>
      </c>
      <c r="E496" s="8" t="inlineStr">
        <is>
          <t>CON.NQR.INS</t>
        </is>
      </c>
      <c r="F496" s="8" t="inlineStr">
        <is>
          <t>Construction</t>
        </is>
      </c>
      <c r="G496" s="8" t="inlineStr">
        <is>
          <t>NQR</t>
        </is>
      </c>
      <c r="H496" s="8" t="inlineStr">
        <is>
          <t>MS5</t>
        </is>
      </c>
      <c r="I496" s="16" t="n">
        <v>0.2</v>
      </c>
      <c r="J496" s="10">
        <f>Station_BOQ!R18</f>
        <v/>
      </c>
      <c r="K496" s="9">
        <f>I496*62000000*J496</f>
        <v/>
      </c>
      <c r="L496" s="18" t="n">
        <v>0.2069705870856623</v>
      </c>
      <c r="M496" s="9">
        <f>ROUND(K496*L496,0)</f>
        <v/>
      </c>
      <c r="N496" s="9" t="n">
        <v>140695</v>
      </c>
      <c r="O496" s="9">
        <f>N496-M496</f>
        <v/>
      </c>
      <c r="P496" s="8" t="inlineStr">
        <is>
          <t>MS5 Installation 20% x station price share 5.48% | Installation key 30% x (1 - civil share 31.0%)</t>
        </is>
      </c>
      <c r="Q496" s="8" t="inlineStr">
        <is>
          <t>Annex 3 equipment sections A1-A5 (installation share)</t>
        </is>
      </c>
      <c r="R496" s="9" t="n">
        <v>316</v>
      </c>
      <c r="S496" s="19">
        <f>R496/1000</f>
        <v/>
      </c>
      <c r="T496" s="20" t="n">
        <v>47220</v>
      </c>
      <c r="U496" s="20" t="n">
        <v>47258</v>
      </c>
      <c r="V496" s="8" t="n">
        <v>22</v>
      </c>
    </row>
    <row r="497">
      <c r="A497" s="8" t="inlineStr">
        <is>
          <t>A1-A5</t>
        </is>
      </c>
      <c r="B497" s="8" t="inlineStr">
        <is>
          <t>A1 to A5 equipment sections: installation share (works included in unit prices)</t>
        </is>
      </c>
      <c r="C497" s="8" t="inlineStr">
        <is>
          <t>NQR-C2030</t>
        </is>
      </c>
      <c r="D497" s="8" t="inlineStr">
        <is>
          <t>Install and aim CCTV cameras - Al Qurayyat</t>
        </is>
      </c>
      <c r="E497" s="8" t="inlineStr">
        <is>
          <t>CON.NQR.INS</t>
        </is>
      </c>
      <c r="F497" s="8" t="inlineStr">
        <is>
          <t>Construction</t>
        </is>
      </c>
      <c r="G497" s="8" t="inlineStr">
        <is>
          <t>NQR</t>
        </is>
      </c>
      <c r="H497" s="8" t="inlineStr">
        <is>
          <t>MS5</t>
        </is>
      </c>
      <c r="I497" s="16" t="n">
        <v>0.2</v>
      </c>
      <c r="J497" s="10">
        <f>Station_BOQ!R18</f>
        <v/>
      </c>
      <c r="K497" s="9">
        <f>I497*62000000*J497</f>
        <v/>
      </c>
      <c r="L497" s="18" t="n">
        <v>0.1724754892380519</v>
      </c>
      <c r="M497" s="9">
        <f>ROUND(K497*L497,0)</f>
        <v/>
      </c>
      <c r="N497" s="9" t="n">
        <v>117246</v>
      </c>
      <c r="O497" s="9">
        <f>N497-M497</f>
        <v/>
      </c>
      <c r="P497" s="8" t="inlineStr">
        <is>
          <t>MS5 Installation 20% x station price share 5.48% | Installation key 25% x (1 - civil share 31.0%)</t>
        </is>
      </c>
      <c r="Q497" s="8" t="inlineStr">
        <is>
          <t>Annex 3 equipment sections A1-A5 (installation share)</t>
        </is>
      </c>
      <c r="R497" s="9" t="n">
        <v>263</v>
      </c>
      <c r="S497" s="19">
        <f>R497/1000</f>
        <v/>
      </c>
      <c r="T497" s="20" t="n">
        <v>47259</v>
      </c>
      <c r="U497" s="20" t="n">
        <v>47282</v>
      </c>
      <c r="V497" s="8" t="n">
        <v>18</v>
      </c>
    </row>
    <row r="498">
      <c r="A498" s="8" t="inlineStr">
        <is>
          <t>A1-A5</t>
        </is>
      </c>
      <c r="B498" s="8" t="inlineStr">
        <is>
          <t>A1 to A5 equipment sections: installation share (works included in unit prices)</t>
        </is>
      </c>
      <c r="C498" s="8" t="inlineStr">
        <is>
          <t>NQR-C2040</t>
        </is>
      </c>
      <c r="D498" s="8" t="inlineStr">
        <is>
          <t>Install video management, video wall and control-room equipment - Al Qurayyat</t>
        </is>
      </c>
      <c r="E498" s="8" t="inlineStr">
        <is>
          <t>CON.NQR.INS</t>
        </is>
      </c>
      <c r="F498" s="8" t="inlineStr">
        <is>
          <t>Construction</t>
        </is>
      </c>
      <c r="G498" s="8" t="inlineStr">
        <is>
          <t>NQR</t>
        </is>
      </c>
      <c r="H498" s="8" t="inlineStr">
        <is>
          <t>MS5</t>
        </is>
      </c>
      <c r="I498" s="16" t="n">
        <v>0.2</v>
      </c>
      <c r="J498" s="10">
        <f>Station_BOQ!R18</f>
        <v/>
      </c>
      <c r="K498" s="9">
        <f>I498*62000000*J498</f>
        <v/>
      </c>
      <c r="L498" s="18" t="n">
        <v>0.1034852935428311</v>
      </c>
      <c r="M498" s="9">
        <f>ROUND(K498*L498,0)</f>
        <v/>
      </c>
      <c r="N498" s="9" t="n">
        <v>70348</v>
      </c>
      <c r="O498" s="9">
        <f>N498-M498</f>
        <v/>
      </c>
      <c r="P498" s="8" t="inlineStr">
        <is>
          <t>MS5 Installation 20% x station price share 5.48% | Installation key 15% x (1 - civil share 31.0%)</t>
        </is>
      </c>
      <c r="Q498" s="8" t="inlineStr">
        <is>
          <t>Annex 3 equipment sections A1-A5 (installation share)</t>
        </is>
      </c>
      <c r="R498" s="9" t="n">
        <v>158</v>
      </c>
      <c r="S498" s="19">
        <f>R498/1000</f>
        <v/>
      </c>
      <c r="T498" s="20" t="n">
        <v>47240</v>
      </c>
      <c r="U498" s="20" t="n">
        <v>47260</v>
      </c>
      <c r="V498" s="8" t="n">
        <v>15</v>
      </c>
    </row>
    <row r="499">
      <c r="A499" s="8" t="inlineStr">
        <is>
          <t>A1-A5</t>
        </is>
      </c>
      <c r="B499" s="8" t="inlineStr">
        <is>
          <t>A1 to A5 equipment sections: installation share (works included in unit prices)</t>
        </is>
      </c>
      <c r="C499" s="8" t="inlineStr">
        <is>
          <t>NQR-C2050</t>
        </is>
      </c>
      <c r="D499" s="8" t="inlineStr">
        <is>
          <t>Install access control and intercom - Al Qurayyat</t>
        </is>
      </c>
      <c r="E499" s="8" t="inlineStr">
        <is>
          <t>CON.NQR.INS</t>
        </is>
      </c>
      <c r="F499" s="8" t="inlineStr">
        <is>
          <t>Construction</t>
        </is>
      </c>
      <c r="G499" s="8" t="inlineStr">
        <is>
          <t>NQR</t>
        </is>
      </c>
      <c r="H499" s="8" t="inlineStr">
        <is>
          <t>MS5</t>
        </is>
      </c>
      <c r="I499" s="16" t="n">
        <v>0.2</v>
      </c>
      <c r="J499" s="10">
        <f>Station_BOQ!R18</f>
        <v/>
      </c>
      <c r="K499" s="9">
        <f>I499*62000000*J499</f>
        <v/>
      </c>
      <c r="L499" s="18" t="n">
        <v>0.06899019569522076</v>
      </c>
      <c r="M499" s="9">
        <f>ROUND(K499*L499,0)</f>
        <v/>
      </c>
      <c r="N499" s="9" t="n">
        <v>46898</v>
      </c>
      <c r="O499" s="9">
        <f>N499-M499</f>
        <v/>
      </c>
      <c r="P499" s="8" t="inlineStr">
        <is>
          <t>MS5 Installation 20% x station price share 5.48% | Installation key 10% x (1 - civil share 31.0%)</t>
        </is>
      </c>
      <c r="Q499" s="8" t="inlineStr">
        <is>
          <t>Annex 3 equipment sections A1-A5 (installation share)</t>
        </is>
      </c>
      <c r="R499" s="9" t="n">
        <v>105</v>
      </c>
      <c r="S499" s="19">
        <f>R499/1000</f>
        <v/>
      </c>
      <c r="T499" s="20" t="n">
        <v>47246</v>
      </c>
      <c r="U499" s="20" t="n">
        <v>47262</v>
      </c>
      <c r="V499" s="8" t="n">
        <v>13</v>
      </c>
    </row>
    <row r="500">
      <c r="A500" s="8" t="inlineStr">
        <is>
          <t>A1-A5</t>
        </is>
      </c>
      <c r="B500" s="8" t="inlineStr">
        <is>
          <t>A1 to A5 equipment sections: testing and commissioning share</t>
        </is>
      </c>
      <c r="C500" s="8" t="inlineStr">
        <is>
          <t>NQR-T1010</t>
        </is>
      </c>
      <c r="D500" s="8" t="inlineStr">
        <is>
          <t>Pre-commissioning and loop checks - Al Qurayyat</t>
        </is>
      </c>
      <c r="E500" s="8" t="inlineStr">
        <is>
          <t>COM.NQR.TST</t>
        </is>
      </c>
      <c r="F500" s="8" t="inlineStr">
        <is>
          <t>Commissioning and handover</t>
        </is>
      </c>
      <c r="G500" s="8" t="inlineStr">
        <is>
          <t>NQR</t>
        </is>
      </c>
      <c r="H500" s="8" t="inlineStr">
        <is>
          <t>MS6</t>
        </is>
      </c>
      <c r="I500" s="16" t="n">
        <v>0.1</v>
      </c>
      <c r="J500" s="10">
        <f>Station_BOQ!R18</f>
        <v/>
      </c>
      <c r="K500" s="9">
        <f>I500*62000000*J500</f>
        <v/>
      </c>
      <c r="L500" s="18" t="n">
        <v>0.4</v>
      </c>
      <c r="M500" s="9">
        <f>ROUND(K500*L500,0)</f>
        <v/>
      </c>
      <c r="N500" s="9" t="n">
        <v>135957</v>
      </c>
      <c r="O500" s="9">
        <f>N500-M500</f>
        <v/>
      </c>
      <c r="P500" s="8" t="inlineStr">
        <is>
          <t>MS6 Testing and commissioning (SAT) 10% x station price share 5.48% | Fixed key 40% of SAT milestone</t>
        </is>
      </c>
      <c r="Q500" s="8" t="inlineStr">
        <is>
          <t>Annex 3 equipment sections A1-A5 (testing share)</t>
        </is>
      </c>
      <c r="R500" s="9" t="n">
        <v>158</v>
      </c>
      <c r="S500" s="19">
        <f>R500/1000</f>
        <v/>
      </c>
      <c r="T500" s="20" t="n">
        <v>47283</v>
      </c>
      <c r="U500" s="20" t="n">
        <v>47289</v>
      </c>
      <c r="V500" s="8" t="n">
        <v>5</v>
      </c>
    </row>
    <row r="501">
      <c r="A501" s="8" t="inlineStr">
        <is>
          <t>A1-A5</t>
        </is>
      </c>
      <c r="B501" s="8" t="inlineStr">
        <is>
          <t>A1 to A5 equipment sections: testing and commissioning share</t>
        </is>
      </c>
      <c r="C501" s="8" t="inlineStr">
        <is>
          <t>NQR-T1020</t>
        </is>
      </c>
      <c r="D501" s="8" t="inlineStr">
        <is>
          <t>Site acceptance test (SAT) and commissioning - Al Qurayyat</t>
        </is>
      </c>
      <c r="E501" s="8" t="inlineStr">
        <is>
          <t>COM.NQR.TST</t>
        </is>
      </c>
      <c r="F501" s="8" t="inlineStr">
        <is>
          <t>Commissioning and handover</t>
        </is>
      </c>
      <c r="G501" s="8" t="inlineStr">
        <is>
          <t>NQR</t>
        </is>
      </c>
      <c r="H501" s="8" t="inlineStr">
        <is>
          <t>MS6</t>
        </is>
      </c>
      <c r="I501" s="16" t="n">
        <v>0.1</v>
      </c>
      <c r="J501" s="10">
        <f>Station_BOQ!R18</f>
        <v/>
      </c>
      <c r="K501" s="9">
        <f>I501*62000000*J501</f>
        <v/>
      </c>
      <c r="L501" s="18" t="n">
        <v>0.6</v>
      </c>
      <c r="M501" s="9">
        <f>ROUND(K501*L501,0)</f>
        <v/>
      </c>
      <c r="N501" s="9" t="n">
        <v>203935</v>
      </c>
      <c r="O501" s="9">
        <f>N501-M501</f>
        <v/>
      </c>
      <c r="P501" s="8" t="inlineStr">
        <is>
          <t>MS6 Testing and commissioning (SAT) 10% x station price share 5.48% | Fixed key 60% of SAT milestone</t>
        </is>
      </c>
      <c r="Q501" s="8" t="inlineStr">
        <is>
          <t>Annex 3 equipment sections A1-A5 (testing share)</t>
        </is>
      </c>
      <c r="R501" s="9" t="n">
        <v>211</v>
      </c>
      <c r="S501" s="19">
        <f>R501/1000</f>
        <v/>
      </c>
      <c r="T501" s="20" t="n">
        <v>47290</v>
      </c>
      <c r="U501" s="20" t="n">
        <v>47301</v>
      </c>
      <c r="V501" s="8" t="n">
        <v>8</v>
      </c>
    </row>
    <row r="502">
      <c r="A502" s="8" t="inlineStr">
        <is>
          <t>SH-TRN</t>
        </is>
      </c>
      <c r="B502" s="8" t="inlineStr">
        <is>
          <t>Training (per railway, allocated)</t>
        </is>
      </c>
      <c r="C502" s="8" t="inlineStr">
        <is>
          <t>NQR-T2010</t>
        </is>
      </c>
      <c r="D502" s="8" t="inlineStr">
        <is>
          <t>Operator and maintenance training - Al Qurayyat</t>
        </is>
      </c>
      <c r="E502" s="8" t="inlineStr">
        <is>
          <t>COM.NQR.TRN</t>
        </is>
      </c>
      <c r="F502" s="8" t="inlineStr">
        <is>
          <t>Commissioning and handover</t>
        </is>
      </c>
      <c r="G502" s="8" t="inlineStr">
        <is>
          <t>NQR</t>
        </is>
      </c>
      <c r="H502" s="8" t="inlineStr">
        <is>
          <t>MS7</t>
        </is>
      </c>
      <c r="I502" s="16" t="n">
        <v>0.1</v>
      </c>
      <c r="J502" s="10">
        <f>Station_BOQ!R18</f>
        <v/>
      </c>
      <c r="K502" s="9">
        <f>I502*62000000*J502</f>
        <v/>
      </c>
      <c r="L502" s="18" t="n">
        <v>0.15</v>
      </c>
      <c r="M502" s="9">
        <f>ROUND(K502*L502,0)</f>
        <v/>
      </c>
      <c r="N502" s="9" t="n">
        <v>50984</v>
      </c>
      <c r="O502" s="9">
        <f>N502-M502</f>
        <v/>
      </c>
      <c r="P502" s="8" t="inlineStr">
        <is>
          <t>MS7 Final acceptance and handover 10% x station price share 5.48% | Fixed key 15%</t>
        </is>
      </c>
      <c r="Q502" s="8" t="inlineStr">
        <is>
          <t>Annex 3 Training (railway), allocated by hardware share</t>
        </is>
      </c>
      <c r="R502" s="9" t="n">
        <v>105</v>
      </c>
      <c r="S502" s="19">
        <f>R502/1000</f>
        <v/>
      </c>
      <c r="T502" s="20" t="n">
        <v>47302</v>
      </c>
      <c r="U502" s="20" t="n">
        <v>47315</v>
      </c>
      <c r="V502" s="8" t="n">
        <v>10</v>
      </c>
    </row>
    <row r="503">
      <c r="A503" s="8" t="inlineStr">
        <is>
          <t>A1-A5</t>
        </is>
      </c>
      <c r="B503" s="8" t="inlineStr">
        <is>
          <t>A1 to A5 equipment sections: trial operation share</t>
        </is>
      </c>
      <c r="C503" s="8" t="inlineStr">
        <is>
          <t>NQR-T2020</t>
        </is>
      </c>
      <c r="D503" s="8" t="inlineStr">
        <is>
          <t>Trial operation (maximum 45 days) - Al Qurayyat</t>
        </is>
      </c>
      <c r="E503" s="8" t="inlineStr">
        <is>
          <t>COM.NQR.TOA</t>
        </is>
      </c>
      <c r="F503" s="8" t="inlineStr">
        <is>
          <t>Commissioning and handover</t>
        </is>
      </c>
      <c r="G503" s="8" t="inlineStr">
        <is>
          <t>NQR</t>
        </is>
      </c>
      <c r="H503" s="8" t="inlineStr">
        <is>
          <t>MS7</t>
        </is>
      </c>
      <c r="I503" s="16" t="n">
        <v>0.1</v>
      </c>
      <c r="J503" s="10">
        <f>Station_BOQ!R18</f>
        <v/>
      </c>
      <c r="K503" s="9">
        <f>I503*62000000*J503</f>
        <v/>
      </c>
      <c r="L503" s="18" t="n">
        <v>0.35</v>
      </c>
      <c r="M503" s="9">
        <f>ROUND(K503*L503,0)</f>
        <v/>
      </c>
      <c r="N503" s="9" t="n">
        <v>118962</v>
      </c>
      <c r="O503" s="9">
        <f>N503-M503</f>
        <v/>
      </c>
      <c r="P503" s="8" t="inlineStr">
        <is>
          <t>MS7 Final acceptance and handover 10% x station price share 5.48% | Fixed key 35%</t>
        </is>
      </c>
      <c r="Q503" s="8" t="inlineStr">
        <is>
          <t>Annex 3 equipment sections A1-A5 (trial operation share)</t>
        </is>
      </c>
      <c r="R503" s="9" t="n">
        <v>158</v>
      </c>
      <c r="S503" s="19">
        <f>R503/1000</f>
        <v/>
      </c>
      <c r="T503" s="20" t="n">
        <v>47302</v>
      </c>
      <c r="U503" s="20" t="n">
        <v>47343</v>
      </c>
      <c r="V503" s="8" t="n">
        <v>30</v>
      </c>
    </row>
    <row r="504">
      <c r="A504" s="8" t="inlineStr">
        <is>
          <t>A1-A5</t>
        </is>
      </c>
      <c r="B504" s="8" t="inlineStr">
        <is>
          <t>A1 to A5 equipment sections: handover share</t>
        </is>
      </c>
      <c r="C504" s="8" t="inlineStr">
        <is>
          <t>NQR-T3010</t>
        </is>
      </c>
      <c r="D504" s="8" t="inlineStr">
        <is>
          <t>Taking-over application, SAR review and handover - Al Qurayyat</t>
        </is>
      </c>
      <c r="E504" s="8" t="inlineStr">
        <is>
          <t>COM.NQR.TOA</t>
        </is>
      </c>
      <c r="F504" s="8" t="inlineStr">
        <is>
          <t>Commissioning and handover</t>
        </is>
      </c>
      <c r="G504" s="8" t="inlineStr">
        <is>
          <t>NQR</t>
        </is>
      </c>
      <c r="H504" s="8" t="inlineStr">
        <is>
          <t>MS7</t>
        </is>
      </c>
      <c r="I504" s="16" t="n">
        <v>0.1</v>
      </c>
      <c r="J504" s="10">
        <f>Station_BOQ!R18</f>
        <v/>
      </c>
      <c r="K504" s="9">
        <f>I504*62000000*J504</f>
        <v/>
      </c>
      <c r="L504" s="18" t="n">
        <v>0.3</v>
      </c>
      <c r="M504" s="9">
        <f>ROUND(K504*L504,0)</f>
        <v/>
      </c>
      <c r="N504" s="9" t="n">
        <v>101967</v>
      </c>
      <c r="O504" s="9">
        <f>N504-M504</f>
        <v/>
      </c>
      <c r="P504" s="8" t="inlineStr">
        <is>
          <t>MS7 Final acceptance and handover 10% x station price share 5.48% | Fixed key 30%</t>
        </is>
      </c>
      <c r="Q504" s="8" t="inlineStr">
        <is>
          <t>Annex 3 equipment sections A1-A5 (handover share)</t>
        </is>
      </c>
      <c r="R504" s="9" t="n">
        <v>158</v>
      </c>
      <c r="S504" s="19">
        <f>R504/1000</f>
        <v/>
      </c>
      <c r="T504" s="20" t="n">
        <v>47344</v>
      </c>
      <c r="U504" s="20" t="n">
        <v>47373</v>
      </c>
      <c r="V504" s="8" t="n">
        <v>22</v>
      </c>
    </row>
    <row r="505">
      <c r="A505" s="11" t="inlineStr">
        <is>
          <t>Total</t>
        </is>
      </c>
      <c r="B505" s="11" t="inlineStr"/>
      <c r="C505" s="11" t="inlineStr"/>
      <c r="D505" s="11" t="inlineStr"/>
      <c r="E505" s="11" t="inlineStr"/>
      <c r="F505" s="11" t="inlineStr"/>
      <c r="G505" s="11" t="inlineStr"/>
      <c r="H505" s="11" t="inlineStr"/>
      <c r="I505" s="11" t="inlineStr"/>
      <c r="J505" s="11" t="inlineStr"/>
      <c r="K505" s="11" t="inlineStr"/>
      <c r="L505" s="11" t="inlineStr"/>
      <c r="M505" s="12">
        <f>SUM(M5:M504)</f>
        <v/>
      </c>
      <c r="N505" s="12">
        <f>SUM(N5:N504)</f>
        <v/>
      </c>
      <c r="O505" s="12">
        <f>SUM(O5:O504)</f>
        <v/>
      </c>
      <c r="P505" s="11" t="inlineStr"/>
      <c r="Q505" s="11" t="inlineStr"/>
      <c r="R505" s="12">
        <f>SUM(R5:R504)</f>
        <v/>
      </c>
      <c r="S505" s="21">
        <f>SUM(S5:S504)</f>
        <v/>
      </c>
      <c r="T505" s="11" t="inlineStr"/>
      <c r="U505" s="11" t="inlineStr"/>
      <c r="V505" s="11" t="inlineStr"/>
    </row>
  </sheetData>
  <autoFilter ref="A4:V5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90" customWidth="1" min="4" max="4"/>
  </cols>
  <sheetData>
    <row r="1">
      <c r="A1" s="6" t="inlineStr">
        <is>
          <t>Distribution keys (cost within each payment milestone, and progress weights)</t>
        </is>
      </c>
    </row>
    <row r="3" ht="32" customHeight="1">
      <c r="A3" s="7" t="inlineStr">
        <is>
          <t>Milestone</t>
        </is>
      </c>
      <c r="B3" s="7" t="inlineStr">
        <is>
          <t>Activity template</t>
        </is>
      </c>
      <c r="C3" s="7" t="inlineStr">
        <is>
          <t>Key</t>
        </is>
      </c>
      <c r="D3" s="7" t="inlineStr">
        <is>
          <t>Basis</t>
        </is>
      </c>
    </row>
    <row r="4">
      <c r="A4" s="8" t="inlineStr">
        <is>
          <t>MS2</t>
        </is>
      </c>
      <c r="B4" s="8" t="inlineStr">
        <is>
          <t>Survey, concept, preliminary, detailed, IFC, HCIS submittals</t>
        </is>
      </c>
      <c r="C4" s="8" t="inlineStr">
        <is>
          <t>5 / 10 / 20 / 40 / 20 / 5 % of 98%</t>
        </is>
      </c>
      <c r="D4" s="8" t="inlineStr">
        <is>
          <t>Survey (including the permit follow-up) carries 7% of the MS2 bucket; design effort split by stage; the railway design and engineering package sits inside the station price</t>
        </is>
      </c>
    </row>
    <row r="5">
      <c r="A5" s="8" t="inlineStr">
        <is>
          <t>MS3</t>
        </is>
      </c>
      <c r="B5" s="8" t="inlineStr">
        <is>
          <t>Approval activities of the same six stages</t>
        </is>
      </c>
      <c r="C5" s="8" t="inlineStr">
        <is>
          <t>5 / 10 / 20 / 40 / 20 / 5 %</t>
        </is>
      </c>
      <c r="D5" s="8" t="inlineStr">
        <is>
          <t>Mirror of the submittal key. Every SAR review is 21 days (15 working days)</t>
        </is>
      </c>
    </row>
    <row r="6">
      <c r="A6" s="8" t="inlineStr">
        <is>
          <t>MS4</t>
        </is>
      </c>
      <c r="B6" s="8" t="inlineStr">
        <is>
          <t>Manufacture CCTV, VMS, access control, UPS and network</t>
        </is>
      </c>
      <c r="C6" s="8" t="inlineStr">
        <is>
          <t>75% split by BOQ section share</t>
        </is>
      </c>
      <c r="D6" s="8" t="inlineStr">
        <is>
          <t>A1, A2, A3 and A4+A5 shares of the station equipment value</t>
        </is>
      </c>
    </row>
    <row r="7">
      <c r="A7" s="8" t="inlineStr">
        <is>
          <t>MS4</t>
        </is>
      </c>
      <c r="B7" s="8" t="inlineStr">
        <is>
          <t>FAT / shipping and customs / delivery and receiving</t>
        </is>
      </c>
      <c r="C7" s="8" t="inlineStr">
        <is>
          <t>5 / 15 / 5 %</t>
        </is>
      </c>
      <c r="D7" s="8" t="inlineStr">
        <is>
          <t>Fixed keys; spares and logistics sit inside delivery</t>
        </is>
      </c>
    </row>
    <row r="8">
      <c r="A8" s="8" t="inlineStr">
        <is>
          <t>MS5</t>
        </is>
      </c>
      <c r="B8" s="8" t="inlineStr">
        <is>
          <t>Enabling works / civil trenches and duct banks / poles and foundations</t>
        </is>
      </c>
      <c r="C8" s="8" t="inlineStr">
        <is>
          <t>4 + 6 / 50 / 40 % of the A6 share</t>
        </is>
      </c>
      <c r="D8" s="8" t="inlineStr">
        <is>
          <t>A6 civil works share of station hardware; enabling works carved from the civil line</t>
        </is>
      </c>
    </row>
    <row r="9">
      <c r="A9" s="8" t="inlineStr">
        <is>
          <t>MS5</t>
        </is>
      </c>
      <c r="B9" s="8" t="inlineStr">
        <is>
          <t>Install cabinets / cabling / CCTV / VMS / access control</t>
        </is>
      </c>
      <c r="C9" s="8" t="inlineStr">
        <is>
          <t>20 / 30 / 25 / 15 / 10 % of (1 - A6 share)</t>
        </is>
      </c>
      <c r="D9" s="8" t="inlineStr">
        <is>
          <t>Installation is included in the unit prices (Annex 3 works included)</t>
        </is>
      </c>
    </row>
    <row r="10">
      <c r="A10" s="8" t="inlineStr">
        <is>
          <t>MS6</t>
        </is>
      </c>
      <c r="B10" s="8" t="inlineStr">
        <is>
          <t>Pre-commissioning / SAT</t>
        </is>
      </c>
      <c r="C10" s="8" t="inlineStr">
        <is>
          <t>40 / 60 %</t>
        </is>
      </c>
      <c r="D10" s="8" t="inlineStr">
        <is>
          <t>Fixed keys. Riyadh (Thumamah): 97% of the keys, 3% to the mock-up approval (no separate Annex 3 item)</t>
        </is>
      </c>
    </row>
    <row r="11">
      <c r="A11" s="8" t="inlineStr">
        <is>
          <t>MS7</t>
        </is>
      </c>
      <c r="B11" s="8" t="inlineStr">
        <is>
          <t>As-built submittal / approval / training / trial operation / handover</t>
        </is>
      </c>
      <c r="C11" s="8" t="inlineStr">
        <is>
          <t>15 / 5 / 15 / 35 / 30 %</t>
        </is>
      </c>
      <c r="D11" s="8" t="inlineStr">
        <is>
          <t>Fixed keys</t>
        </is>
      </c>
    </row>
    <row r="12">
      <c r="A12" s="8" t="inlineStr">
        <is>
          <t>MS1</t>
        </is>
      </c>
      <c r="B12" s="8" t="inlineStr">
        <is>
          <t>Performance security / initial baseline / site establishment / mobilization submittals</t>
        </is>
      </c>
      <c r="C12" s="8" t="inlineStr">
        <is>
          <t>15 / 10 / 45 / 30 %</t>
        </is>
      </c>
      <c r="D12" s="8" t="inlineStr">
        <is>
          <t>Project level, 20% of the total price</t>
        </is>
      </c>
    </row>
    <row r="15" ht="32" customHeight="1">
      <c r="A15" s="7" t="inlineStr">
        <is>
          <t>EPC phase</t>
        </is>
      </c>
      <c r="B15" s="7" t="inlineStr">
        <is>
          <t>Component</t>
        </is>
      </c>
      <c r="C15" s="7" t="inlineStr">
        <is>
          <t>Weight (% of station progress)</t>
        </is>
      </c>
      <c r="D15" s="7" t="inlineStr">
        <is>
          <t>Basis</t>
        </is>
      </c>
    </row>
    <row r="16">
      <c r="A16" s="8" t="inlineStr">
        <is>
          <t>Engineering</t>
        </is>
      </c>
      <c r="B16" s="8" t="inlineStr">
        <is>
          <t>Survey 8, concept 10, preliminary 18, detailed 30, IFC 18, HCIS 6, as-built 10 (of 12%); each stage split submittal / approval by duration</t>
        </is>
      </c>
      <c r="C16" s="8" t="n">
        <v>12</v>
      </c>
      <c r="D16" s="8" t="inlineStr">
        <is>
          <t>Typical EPC effort weighting for design</t>
        </is>
      </c>
    </row>
    <row r="17">
      <c r="A17" s="8" t="inlineStr">
        <is>
          <t>Procurement</t>
        </is>
      </c>
      <c r="B17" s="8" t="inlineStr">
        <is>
          <t>Manufacture 24 (split by BOQ package share), FAT 4, shipping 8, delivery 4</t>
        </is>
      </c>
      <c r="C17" s="8" t="n">
        <v>40</v>
      </c>
      <c r="D17" s="8" t="inlineStr">
        <is>
          <t>Procurement carries the largest share of a supply-led security contract</t>
        </is>
      </c>
    </row>
    <row r="18">
      <c r="A18" s="8" t="inlineStr">
        <is>
          <t>Construction</t>
        </is>
      </c>
      <c r="B18" s="8" t="inlineStr">
        <is>
          <t>Enabling works 2.5, trenches 6.5, poles 5, cabinets 3, cabling 6, CCTV 5, VMS 3, access 2</t>
        </is>
      </c>
      <c r="C18" s="8" t="n">
        <v>33</v>
      </c>
      <c r="D18" s="8" t="inlineStr">
        <is>
          <t>Site works</t>
        </is>
      </c>
    </row>
    <row r="19">
      <c r="A19" s="8" t="inlineStr">
        <is>
          <t>Commissioning and handover</t>
        </is>
      </c>
      <c r="B19" s="8" t="inlineStr">
        <is>
          <t>Pre-commissioning 3, SAT 4, training 2, trial operation 3, handover 3</t>
        </is>
      </c>
      <c r="C19" s="8" t="n">
        <v>15</v>
      </c>
      <c r="D19" s="8" t="inlineStr">
        <is>
          <t>Testing, trial and acceptance</t>
        </is>
      </c>
    </row>
    <row r="20">
      <c r="A20" s="11" t="inlineStr">
        <is>
          <t>Total stations</t>
        </is>
      </c>
      <c r="B20" s="11" t="inlineStr"/>
      <c r="C20" s="11">
        <f>SUM(C16:C19)</f>
        <v/>
      </c>
      <c r="D20" s="11" t="inlineStr">
        <is>
          <t>Station weights sum to 100%</t>
        </is>
      </c>
    </row>
    <row r="22">
      <c r="A22" s="8" t="inlineStr">
        <is>
          <t>Project level</t>
        </is>
      </c>
      <c r="B22" s="8" t="inlineStr">
        <is>
          <t>Mobilization and baseline 2.7% and closeout pack 1.3% of the whole project</t>
        </is>
      </c>
      <c r="C22" s="8" t="n">
        <v>4</v>
      </c>
      <c r="D22" s="8" t="inlineStr">
        <is>
          <t>Stations carry 96% of the project, each station weighted by its BOQ price share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6" t="inlineStr">
        <is>
          <t>S-curve: cost (contract payment conditions) against progress (fair EPC distribution), spread linearly over each activity</t>
        </is>
      </c>
    </row>
    <row r="3" ht="32" customHeight="1">
      <c r="A3" s="7" t="inlineStr">
        <is>
          <t>Month</t>
        </is>
      </c>
      <c r="B3" s="7" t="inlineStr">
        <is>
          <t>Cost in month (SAR)</t>
        </is>
      </c>
      <c r="C3" s="7" t="inlineStr">
        <is>
          <t>Cumulative cost (SAR)</t>
        </is>
      </c>
      <c r="D3" s="7" t="inlineStr">
        <is>
          <t>Cumulative cost %</t>
        </is>
      </c>
      <c r="E3" s="7" t="inlineStr">
        <is>
          <t>Progress in month %</t>
        </is>
      </c>
      <c r="F3" s="7" t="inlineStr">
        <is>
          <t>Cumulative progress %</t>
        </is>
      </c>
    </row>
    <row r="4">
      <c r="A4" s="22" t="n">
        <v>46327</v>
      </c>
      <c r="B4" s="9" t="n">
        <v>10056396.46999999</v>
      </c>
      <c r="C4" s="9">
        <f>SUM(B$4:B4)</f>
        <v/>
      </c>
      <c r="D4" s="23">
        <f>C4/62000000</f>
        <v/>
      </c>
      <c r="E4" s="10" t="n">
        <v>0.01834888888888888</v>
      </c>
      <c r="F4" s="23">
        <f>SUM(E$4:E4)</f>
        <v/>
      </c>
    </row>
    <row r="5">
      <c r="A5" s="22" t="n">
        <v>46357</v>
      </c>
      <c r="B5" s="9" t="n">
        <v>2343599.53</v>
      </c>
      <c r="C5" s="9">
        <f>SUM(B$4:B5)</f>
        <v/>
      </c>
      <c r="D5" s="23">
        <f>C5/62000000</f>
        <v/>
      </c>
      <c r="E5" s="10" t="n">
        <v>0.003651111111111113</v>
      </c>
      <c r="F5" s="23">
        <f>SUM(E$4:E5)</f>
        <v/>
      </c>
    </row>
    <row r="6">
      <c r="A6" s="22" t="n">
        <v>46388</v>
      </c>
      <c r="B6" s="9" t="n">
        <v>262431.1380952381</v>
      </c>
      <c r="C6" s="9">
        <f>SUM(B$4:B6)</f>
        <v/>
      </c>
      <c r="D6" s="23">
        <f>C6/62000000</f>
        <v/>
      </c>
      <c r="E6" s="10" t="n">
        <v>0.007010361904761905</v>
      </c>
      <c r="F6" s="23">
        <f>SUM(E$4:E6)</f>
        <v/>
      </c>
    </row>
    <row r="7">
      <c r="A7" s="22" t="n">
        <v>46419</v>
      </c>
      <c r="B7" s="9" t="n">
        <v>728474.6632367625</v>
      </c>
      <c r="C7" s="9">
        <f>SUM(B$4:B7)</f>
        <v/>
      </c>
      <c r="D7" s="23">
        <f>C7/62000000</f>
        <v/>
      </c>
      <c r="E7" s="10" t="n">
        <v>0.007462863869463869</v>
      </c>
      <c r="F7" s="23">
        <f>SUM(E$4:E7)</f>
        <v/>
      </c>
    </row>
    <row r="8">
      <c r="A8" s="22" t="n">
        <v>46447</v>
      </c>
      <c r="B8" s="9" t="n">
        <v>1149268.960982159</v>
      </c>
      <c r="C8" s="9">
        <f>SUM(B$4:B8)</f>
        <v/>
      </c>
      <c r="D8" s="23">
        <f>C8/62000000</f>
        <v/>
      </c>
      <c r="E8" s="10" t="n">
        <v>0.009865185775009288</v>
      </c>
      <c r="F8" s="23">
        <f>SUM(E$4:E8)</f>
        <v/>
      </c>
    </row>
    <row r="9">
      <c r="A9" s="22" t="n">
        <v>46478</v>
      </c>
      <c r="B9" s="9" t="n">
        <v>1744434.854352513</v>
      </c>
      <c r="C9" s="9">
        <f>SUM(B$4:B9)</f>
        <v/>
      </c>
      <c r="D9" s="23">
        <f>C9/62000000</f>
        <v/>
      </c>
      <c r="E9" s="10" t="n">
        <v>0.01375275511743159</v>
      </c>
      <c r="F9" s="23">
        <f>SUM(E$4:E9)</f>
        <v/>
      </c>
    </row>
    <row r="10">
      <c r="A10" s="22" t="n">
        <v>46508</v>
      </c>
      <c r="B10" s="9" t="n">
        <v>1442176.554135854</v>
      </c>
      <c r="C10" s="9">
        <f>SUM(B$4:B10)</f>
        <v/>
      </c>
      <c r="D10" s="23">
        <f>C10/62000000</f>
        <v/>
      </c>
      <c r="E10" s="10" t="n">
        <v>0.02705279728076855</v>
      </c>
      <c r="F10" s="23">
        <f>SUM(E$4:E10)</f>
        <v/>
      </c>
    </row>
    <row r="11">
      <c r="A11" s="22" t="n">
        <v>46539</v>
      </c>
      <c r="B11" s="9" t="n">
        <v>1684819.121709355</v>
      </c>
      <c r="C11" s="9">
        <f>SUM(B$4:B11)</f>
        <v/>
      </c>
      <c r="D11" s="23">
        <f>C11/62000000</f>
        <v/>
      </c>
      <c r="E11" s="10" t="n">
        <v>0.03651208285870351</v>
      </c>
      <c r="F11" s="23">
        <f>SUM(E$4:E11)</f>
        <v/>
      </c>
    </row>
    <row r="12">
      <c r="A12" s="22" t="n">
        <v>46569</v>
      </c>
      <c r="B12" s="9" t="n">
        <v>1309023.699548881</v>
      </c>
      <c r="C12" s="9">
        <f>SUM(B$4:B12)</f>
        <v/>
      </c>
      <c r="D12" s="23">
        <f>C12/62000000</f>
        <v/>
      </c>
      <c r="E12" s="10" t="n">
        <v>0.04200348333008542</v>
      </c>
      <c r="F12" s="23">
        <f>SUM(E$4:E12)</f>
        <v/>
      </c>
    </row>
    <row r="13">
      <c r="A13" s="22" t="n">
        <v>46600</v>
      </c>
      <c r="B13" s="9" t="n">
        <v>1682555.487055444</v>
      </c>
      <c r="C13" s="9">
        <f>SUM(B$4:B13)</f>
        <v/>
      </c>
      <c r="D13" s="23">
        <f>C13/62000000</f>
        <v/>
      </c>
      <c r="E13" s="10" t="n">
        <v>0.05261762879841147</v>
      </c>
      <c r="F13" s="23">
        <f>SUM(E$4:E13)</f>
        <v/>
      </c>
    </row>
    <row r="14">
      <c r="A14" s="22" t="n">
        <v>46631</v>
      </c>
      <c r="B14" s="9" t="n">
        <v>1807538.688054143</v>
      </c>
      <c r="C14" s="9">
        <f>SUM(B$4:B14)</f>
        <v/>
      </c>
      <c r="D14" s="23">
        <f>C14/62000000</f>
        <v/>
      </c>
      <c r="E14" s="10" t="n">
        <v>0.04574256036273347</v>
      </c>
      <c r="F14" s="23">
        <f>SUM(E$4:E14)</f>
        <v/>
      </c>
    </row>
    <row r="15">
      <c r="A15" s="22" t="n">
        <v>46661</v>
      </c>
      <c r="B15" s="9" t="n">
        <v>1709704.999157467</v>
      </c>
      <c r="C15" s="9">
        <f>SUM(B$4:B15)</f>
        <v/>
      </c>
      <c r="D15" s="23">
        <f>C15/62000000</f>
        <v/>
      </c>
      <c r="E15" s="10" t="n">
        <v>0.03860120845928342</v>
      </c>
      <c r="F15" s="23">
        <f>SUM(E$4:E15)</f>
        <v/>
      </c>
    </row>
    <row r="16">
      <c r="A16" s="22" t="n">
        <v>46692</v>
      </c>
      <c r="B16" s="9" t="n">
        <v>2195829.207635707</v>
      </c>
      <c r="C16" s="9">
        <f>SUM(B$4:B16)</f>
        <v/>
      </c>
      <c r="D16" s="23">
        <f>C16/62000000</f>
        <v/>
      </c>
      <c r="E16" s="10" t="n">
        <v>0.0389041078859994</v>
      </c>
      <c r="F16" s="23">
        <f>SUM(E$4:E16)</f>
        <v/>
      </c>
    </row>
    <row r="17">
      <c r="A17" s="22" t="n">
        <v>46722</v>
      </c>
      <c r="B17" s="9" t="n">
        <v>2036383.828373213</v>
      </c>
      <c r="C17" s="9">
        <f>SUM(B$4:B17)</f>
        <v/>
      </c>
      <c r="D17" s="23">
        <f>C17/62000000</f>
        <v/>
      </c>
      <c r="E17" s="10" t="n">
        <v>0.04597599538580423</v>
      </c>
      <c r="F17" s="23">
        <f>SUM(E$4:E17)</f>
        <v/>
      </c>
    </row>
    <row r="18">
      <c r="A18" s="22" t="n">
        <v>46753</v>
      </c>
      <c r="B18" s="9" t="n">
        <v>2321339.034130303</v>
      </c>
      <c r="C18" s="9">
        <f>SUM(B$4:B18)</f>
        <v/>
      </c>
      <c r="D18" s="23">
        <f>C18/62000000</f>
        <v/>
      </c>
      <c r="E18" s="10" t="n">
        <v>0.0473868773634063</v>
      </c>
      <c r="F18" s="23">
        <f>SUM(E$4:E18)</f>
        <v/>
      </c>
    </row>
    <row r="19">
      <c r="A19" s="22" t="n">
        <v>46784</v>
      </c>
      <c r="B19" s="9" t="n">
        <v>1753077.853186866</v>
      </c>
      <c r="C19" s="9">
        <f>SUM(B$4:B19)</f>
        <v/>
      </c>
      <c r="D19" s="23">
        <f>C19/62000000</f>
        <v/>
      </c>
      <c r="E19" s="10" t="n">
        <v>0.0356343565895648</v>
      </c>
      <c r="F19" s="23">
        <f>SUM(E$4:E19)</f>
        <v/>
      </c>
    </row>
    <row r="20">
      <c r="A20" s="22" t="n">
        <v>46813</v>
      </c>
      <c r="B20" s="9" t="n">
        <v>2801838.178148763</v>
      </c>
      <c r="C20" s="9">
        <f>SUM(B$4:B20)</f>
        <v/>
      </c>
      <c r="D20" s="23">
        <f>C20/62000000</f>
        <v/>
      </c>
      <c r="E20" s="10" t="n">
        <v>0.04776536341214186</v>
      </c>
      <c r="F20" s="23">
        <f>SUM(E$4:E20)</f>
        <v/>
      </c>
    </row>
    <row r="21">
      <c r="A21" s="22" t="n">
        <v>46844</v>
      </c>
      <c r="B21" s="9" t="n">
        <v>3549570.864585011</v>
      </c>
      <c r="C21" s="9">
        <f>SUM(B$4:B21)</f>
        <v/>
      </c>
      <c r="D21" s="23">
        <f>C21/62000000</f>
        <v/>
      </c>
      <c r="E21" s="10" t="n">
        <v>0.04825021981851738</v>
      </c>
      <c r="F21" s="23">
        <f>SUM(E$4:E21)</f>
        <v/>
      </c>
    </row>
    <row r="22">
      <c r="A22" s="22" t="n">
        <v>46874</v>
      </c>
      <c r="B22" s="9" t="n">
        <v>2433062.051112088</v>
      </c>
      <c r="C22" s="9">
        <f>SUM(B$4:B22)</f>
        <v/>
      </c>
      <c r="D22" s="23">
        <f>C22/62000000</f>
        <v/>
      </c>
      <c r="E22" s="10" t="n">
        <v>0.04450836194221248</v>
      </c>
      <c r="F22" s="23">
        <f>SUM(E$4:E22)</f>
        <v/>
      </c>
    </row>
    <row r="23">
      <c r="A23" s="22" t="n">
        <v>46905</v>
      </c>
      <c r="B23" s="9" t="n">
        <v>2658079.104260592</v>
      </c>
      <c r="C23" s="9">
        <f>SUM(B$4:B23)</f>
        <v/>
      </c>
      <c r="D23" s="23">
        <f>C23/62000000</f>
        <v/>
      </c>
      <c r="E23" s="10" t="n">
        <v>0.04993787928039982</v>
      </c>
      <c r="F23" s="23">
        <f>SUM(E$4:E23)</f>
        <v/>
      </c>
    </row>
    <row r="24">
      <c r="A24" s="22" t="n">
        <v>46935</v>
      </c>
      <c r="B24" s="9" t="n">
        <v>2078816.258658892</v>
      </c>
      <c r="C24" s="9">
        <f>SUM(B$4:B24)</f>
        <v/>
      </c>
      <c r="D24" s="23">
        <f>C24/62000000</f>
        <v/>
      </c>
      <c r="E24" s="10" t="n">
        <v>0.04807558768855531</v>
      </c>
      <c r="F24" s="23">
        <f>SUM(E$4:E24)</f>
        <v/>
      </c>
    </row>
    <row r="25">
      <c r="A25" s="22" t="n">
        <v>46966</v>
      </c>
      <c r="B25" s="9" t="n">
        <v>1769603.581993361</v>
      </c>
      <c r="C25" s="9">
        <f>SUM(B$4:B25)</f>
        <v/>
      </c>
      <c r="D25" s="23">
        <f>C25/62000000</f>
        <v/>
      </c>
      <c r="E25" s="10" t="n">
        <v>0.03932438538839055</v>
      </c>
      <c r="F25" s="23">
        <f>SUM(E$4:E25)</f>
        <v/>
      </c>
    </row>
    <row r="26">
      <c r="A26" s="22" t="n">
        <v>46997</v>
      </c>
      <c r="B26" s="9" t="n">
        <v>1167986.950932274</v>
      </c>
      <c r="C26" s="9">
        <f>SUM(B$4:B26)</f>
        <v/>
      </c>
      <c r="D26" s="23">
        <f>C26/62000000</f>
        <v/>
      </c>
      <c r="E26" s="10" t="n">
        <v>0.02733037734003094</v>
      </c>
      <c r="F26" s="23">
        <f>SUM(E$4:E26)</f>
        <v/>
      </c>
    </row>
    <row r="27">
      <c r="A27" s="22" t="n">
        <v>47027</v>
      </c>
      <c r="B27" s="9" t="n">
        <v>1551041.255409049</v>
      </c>
      <c r="C27" s="9">
        <f>SUM(B$4:B27)</f>
        <v/>
      </c>
      <c r="D27" s="23">
        <f>C27/62000000</f>
        <v/>
      </c>
      <c r="E27" s="10" t="n">
        <v>0.03271893999619224</v>
      </c>
      <c r="F27" s="23">
        <f>SUM(E$4:E27)</f>
        <v/>
      </c>
    </row>
    <row r="28">
      <c r="A28" s="22" t="n">
        <v>47058</v>
      </c>
      <c r="B28" s="9" t="n">
        <v>1780674.564930941</v>
      </c>
      <c r="C28" s="9">
        <f>SUM(B$4:B28)</f>
        <v/>
      </c>
      <c r="D28" s="23">
        <f>C28/62000000</f>
        <v/>
      </c>
      <c r="E28" s="10" t="n">
        <v>0.03438694887302739</v>
      </c>
      <c r="F28" s="23">
        <f>SUM(E$4:E28)</f>
        <v/>
      </c>
    </row>
    <row r="29">
      <c r="A29" s="22" t="n">
        <v>47088</v>
      </c>
      <c r="B29" s="9" t="n">
        <v>1461766.122250995</v>
      </c>
      <c r="C29" s="9">
        <f>SUM(B$4:B29)</f>
        <v/>
      </c>
      <c r="D29" s="23">
        <f>C29/62000000</f>
        <v/>
      </c>
      <c r="E29" s="10" t="n">
        <v>0.03099316622745991</v>
      </c>
      <c r="F29" s="23">
        <f>SUM(E$4:E29)</f>
        <v/>
      </c>
    </row>
    <row r="30">
      <c r="A30" s="22" t="n">
        <v>47119</v>
      </c>
      <c r="B30" s="9" t="n">
        <v>1856103.654370385</v>
      </c>
      <c r="C30" s="9">
        <f>SUM(B$4:B30)</f>
        <v/>
      </c>
      <c r="D30" s="23">
        <f>C30/62000000</f>
        <v/>
      </c>
      <c r="E30" s="10" t="n">
        <v>0.03257295860400283</v>
      </c>
      <c r="F30" s="23">
        <f>SUM(E$4:E30)</f>
        <v/>
      </c>
    </row>
    <row r="31">
      <c r="A31" s="22" t="n">
        <v>47150</v>
      </c>
      <c r="B31" s="9" t="n">
        <v>1182733.661194291</v>
      </c>
      <c r="C31" s="9">
        <f>SUM(B$4:B31)</f>
        <v/>
      </c>
      <c r="D31" s="23">
        <f>C31/62000000</f>
        <v/>
      </c>
      <c r="E31" s="10" t="n">
        <v>0.02071289476599052</v>
      </c>
      <c r="F31" s="23">
        <f>SUM(E$4:E31)</f>
        <v/>
      </c>
    </row>
    <row r="32">
      <c r="A32" s="22" t="n">
        <v>47178</v>
      </c>
      <c r="B32" s="9" t="n">
        <v>990317.0318856585</v>
      </c>
      <c r="C32" s="9">
        <f>SUM(B$4:B32)</f>
        <v/>
      </c>
      <c r="D32" s="23">
        <f>C32/62000000</f>
        <v/>
      </c>
      <c r="E32" s="10" t="n">
        <v>0.01972113730713734</v>
      </c>
      <c r="F32" s="23">
        <f>SUM(E$4:E32)</f>
        <v/>
      </c>
    </row>
    <row r="33">
      <c r="A33" s="22" t="n">
        <v>47209</v>
      </c>
      <c r="B33" s="9" t="n">
        <v>671679.4717171721</v>
      </c>
      <c r="C33" s="9">
        <f>SUM(B$4:B33)</f>
        <v/>
      </c>
      <c r="D33" s="23">
        <f>C33/62000000</f>
        <v/>
      </c>
      <c r="E33" s="10" t="n">
        <v>0.01372771328671328</v>
      </c>
      <c r="F33" s="23">
        <f>SUM(E$4:E33)</f>
        <v/>
      </c>
    </row>
    <row r="34">
      <c r="A34" s="22" t="n">
        <v>47239</v>
      </c>
      <c r="B34" s="9" t="n">
        <v>872432.099372851</v>
      </c>
      <c r="C34" s="9">
        <f>SUM(B$4:B34)</f>
        <v/>
      </c>
      <c r="D34" s="23">
        <f>C34/62000000</f>
        <v/>
      </c>
      <c r="E34" s="10" t="n">
        <v>0.0136635868020868</v>
      </c>
      <c r="F34" s="23">
        <f>SUM(E$4:E34)</f>
        <v/>
      </c>
    </row>
    <row r="35">
      <c r="A35" s="22" t="n">
        <v>47270</v>
      </c>
      <c r="B35" s="9" t="n">
        <v>473709.738095238</v>
      </c>
      <c r="C35" s="9">
        <f>SUM(B$4:B35)</f>
        <v/>
      </c>
      <c r="D35" s="23">
        <f>C35/62000000</f>
        <v/>
      </c>
      <c r="E35" s="10" t="n">
        <v>0.005987857142857143</v>
      </c>
      <c r="F35" s="23">
        <f>SUM(E$4:E35)</f>
        <v/>
      </c>
    </row>
    <row r="36">
      <c r="A36" s="22" t="n">
        <v>47300</v>
      </c>
      <c r="B36" s="9" t="n">
        <v>325678.7214285717</v>
      </c>
      <c r="C36" s="9">
        <f>SUM(B$4:B36)</f>
        <v/>
      </c>
      <c r="D36" s="23">
        <f>C36/62000000</f>
        <v/>
      </c>
      <c r="E36" s="10" t="n">
        <v>0.004604357142857137</v>
      </c>
      <c r="F36" s="23">
        <f>SUM(E$4:E36)</f>
        <v/>
      </c>
    </row>
    <row r="37">
      <c r="A37" s="22" t="n">
        <v>47331</v>
      </c>
      <c r="B37" s="9" t="n">
        <v>106138.8272727272</v>
      </c>
      <c r="C37" s="9">
        <f>SUM(B$4:B37)</f>
        <v/>
      </c>
      <c r="D37" s="23">
        <f>C37/62000000</f>
        <v/>
      </c>
      <c r="E37" s="10" t="n">
        <v>0.001539636363636364</v>
      </c>
      <c r="F37" s="23">
        <f>SUM(E$4:E37)</f>
        <v/>
      </c>
    </row>
    <row r="38">
      <c r="A38" s="22" t="n">
        <v>47362</v>
      </c>
      <c r="B38" s="9" t="n">
        <v>41713.77272727272</v>
      </c>
      <c r="C38" s="9">
        <f>SUM(B$4:B38)</f>
        <v/>
      </c>
      <c r="D38" s="23">
        <f>C38/62000000</f>
        <v/>
      </c>
      <c r="E38" s="10" t="n">
        <v>0.01365636363636364</v>
      </c>
      <c r="F38" s="23">
        <f>SUM(E$4:E38)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8" customWidth="1" min="4" max="4"/>
    <col width="12" customWidth="1" min="5" max="5"/>
    <col width="70" customWidth="1" min="6" max="6"/>
    <col width="80" customWidth="1" min="7" max="7"/>
  </cols>
  <sheetData>
    <row r="1" ht="32" customHeight="1">
      <c r="A1" s="7" t="inlineStr">
        <is>
          <t>Resource ID</t>
        </is>
      </c>
      <c r="B1" s="7" t="inlineStr">
        <is>
          <t>Name</t>
        </is>
      </c>
      <c r="C1" s="7" t="inlineStr">
        <is>
          <t>Type</t>
        </is>
      </c>
      <c r="D1" s="7" t="inlineStr">
        <is>
          <t>Unit</t>
        </is>
      </c>
      <c r="E1" s="7" t="inlineStr">
        <is>
          <t>Price per unit</t>
        </is>
      </c>
      <c r="F1" s="7" t="inlineStr">
        <is>
          <t>Meaning</t>
        </is>
      </c>
      <c r="G1" s="7" t="inlineStr">
        <is>
          <t>How P6 uses it</t>
        </is>
      </c>
    </row>
    <row r="2">
      <c r="A2" s="8" t="inlineStr">
        <is>
          <t>COST-SAR</t>
        </is>
      </c>
      <c r="B2" s="8" t="inlineStr">
        <is>
          <t>Contract cost (BOQ x payment milestones)</t>
        </is>
      </c>
      <c r="C2" s="8" t="inlineStr">
        <is>
          <t>Material</t>
        </is>
      </c>
      <c r="D2" s="8" t="inlineStr">
        <is>
          <t>SAR</t>
        </is>
      </c>
      <c r="E2" s="8" t="n">
        <v>0</v>
      </c>
      <c r="F2" s="8" t="inlineStr">
        <is>
          <t>Contract cost of the activity in SAR from the payment conditions applied to the BOQ station value (column N of BOQ_Mapping)</t>
        </is>
      </c>
      <c r="G2" s="8" t="inlineStr">
        <is>
          <t>Quantity carrier. Price 0, so it adds no budget cost. Set the price to 1 (and PROG-WT to 0) to see the contract-condition cost curve instead.</t>
        </is>
      </c>
    </row>
    <row r="3">
      <c r="A3" s="8" t="inlineStr">
        <is>
          <t>PROG-WT</t>
        </is>
      </c>
      <c r="B3" s="8" t="inlineStr">
        <is>
          <t>Progress weight (fair EPC distribution, SAR value)</t>
        </is>
      </c>
      <c r="C3" s="8" t="inlineStr">
        <is>
          <t>Material</t>
        </is>
      </c>
      <c r="D3" s="8" t="inlineStr">
        <is>
          <t>SAR</t>
        </is>
      </c>
      <c r="E3" s="8" t="n">
        <v>1</v>
      </c>
      <c r="F3" s="8" t="inlineStr">
        <is>
          <t>Progress share x SAR 62,000,000 (100,000 points x SAR 620). Fair EPC distribution (see Distribution_Keys)</t>
        </is>
      </c>
      <c r="G3" s="8" t="inlineStr">
        <is>
          <t>Price 1, so budgeted cost = progress value in SAR. Activity % complete type is Physical, so earned value = physical % x this budget, and the cost and schedule performance indexes are measured in SAR on the progress distribution.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4" customWidth="1" min="3" max="3"/>
    <col width="12" customWidth="1" min="4" max="4"/>
  </cols>
  <sheetData>
    <row r="1" ht="32" customHeight="1">
      <c r="A1" s="7" t="inlineStr">
        <is>
          <t>Code type</t>
        </is>
      </c>
      <c r="B1" s="7" t="inlineStr">
        <is>
          <t>Code value</t>
        </is>
      </c>
      <c r="C1" s="7" t="inlineStr">
        <is>
          <t>Description</t>
        </is>
      </c>
      <c r="D1" s="7" t="inlineStr">
        <is>
          <t>Activities</t>
        </is>
      </c>
    </row>
    <row r="2">
      <c r="A2" s="8" t="inlineStr">
        <is>
          <t>Area</t>
        </is>
      </c>
      <c r="B2" s="8" t="inlineStr">
        <is>
          <t>EWR</t>
        </is>
      </c>
      <c r="C2" s="8" t="inlineStr">
        <is>
          <t>EWR</t>
        </is>
      </c>
      <c r="D2" s="8" t="n">
        <v>164</v>
      </c>
    </row>
    <row r="3">
      <c r="A3" s="8" t="inlineStr">
        <is>
          <t>Area</t>
        </is>
      </c>
      <c r="B3" s="8" t="inlineStr">
        <is>
          <t>HHR</t>
        </is>
      </c>
      <c r="C3" s="8" t="inlineStr">
        <is>
          <t>HHR</t>
        </is>
      </c>
      <c r="D3" s="8" t="n">
        <v>164</v>
      </c>
    </row>
    <row r="4">
      <c r="A4" s="8" t="inlineStr">
        <is>
          <t>Area</t>
        </is>
      </c>
      <c r="B4" s="8" t="inlineStr">
        <is>
          <t>NSR</t>
        </is>
      </c>
      <c r="C4" s="8" t="inlineStr">
        <is>
          <t>NSR</t>
        </is>
      </c>
      <c r="D4" s="8" t="n">
        <v>248</v>
      </c>
    </row>
    <row r="5">
      <c r="A5" s="8" t="inlineStr">
        <is>
          <t>Area</t>
        </is>
      </c>
      <c r="B5" s="8" t="inlineStr">
        <is>
          <t>PRJ</t>
        </is>
      </c>
      <c r="C5" s="8" t="inlineStr">
        <is>
          <t>Project level</t>
        </is>
      </c>
      <c r="D5" s="8" t="n">
        <v>15</v>
      </c>
    </row>
    <row r="6">
      <c r="A6" s="8" t="inlineStr">
        <is>
          <t>Discipline</t>
        </is>
      </c>
      <c r="B6" s="8" t="inlineStr">
        <is>
          <t>ACC</t>
        </is>
      </c>
      <c r="C6" s="8" t="inlineStr">
        <is>
          <t>Access control and intercom</t>
        </is>
      </c>
      <c r="D6" s="8" t="n">
        <v>28</v>
      </c>
    </row>
    <row r="7">
      <c r="A7" s="8" t="inlineStr">
        <is>
          <t>Discipline</t>
        </is>
      </c>
      <c r="B7" s="8" t="inlineStr">
        <is>
          <t>CCTV</t>
        </is>
      </c>
      <c r="C7" s="8" t="inlineStr">
        <is>
          <t>CCTV system</t>
        </is>
      </c>
      <c r="D7" s="8" t="n">
        <v>42</v>
      </c>
    </row>
    <row r="8">
      <c r="A8" s="8" t="inlineStr">
        <is>
          <t>Discipline</t>
        </is>
      </c>
      <c r="B8" s="8" t="inlineStr">
        <is>
          <t>CIVIL</t>
        </is>
      </c>
      <c r="C8" s="8" t="inlineStr">
        <is>
          <t>Civil works</t>
        </is>
      </c>
      <c r="D8" s="8" t="n">
        <v>56</v>
      </c>
    </row>
    <row r="9">
      <c r="A9" s="8" t="inlineStr">
        <is>
          <t>Discipline</t>
        </is>
      </c>
      <c r="B9" s="8" t="inlineStr">
        <is>
          <t>DOCS</t>
        </is>
      </c>
      <c r="C9" s="8" t="inlineStr">
        <is>
          <t>Design documentation</t>
        </is>
      </c>
      <c r="D9" s="8" t="n">
        <v>224</v>
      </c>
    </row>
    <row r="10">
      <c r="A10" s="8" t="inlineStr">
        <is>
          <t>Discipline</t>
        </is>
      </c>
      <c r="B10" s="8" t="inlineStr">
        <is>
          <t>PM</t>
        </is>
      </c>
      <c r="C10" s="8" t="inlineStr">
        <is>
          <t>Project management and logistics</t>
        </is>
      </c>
      <c r="D10" s="8" t="n">
        <v>85</v>
      </c>
    </row>
    <row r="11">
      <c r="A11" s="8" t="inlineStr">
        <is>
          <t>Discipline</t>
        </is>
      </c>
      <c r="B11" s="8" t="inlineStr">
        <is>
          <t>TC</t>
        </is>
      </c>
      <c r="C11" s="8" t="inlineStr">
        <is>
          <t>Testing, commissioning and handover</t>
        </is>
      </c>
      <c r="D11" s="8" t="n">
        <v>100</v>
      </c>
    </row>
    <row r="12">
      <c r="A12" s="8" t="inlineStr">
        <is>
          <t>Discipline</t>
        </is>
      </c>
      <c r="B12" s="8" t="inlineStr">
        <is>
          <t>UPSNET</t>
        </is>
      </c>
      <c r="C12" s="8" t="inlineStr">
        <is>
          <t>UPS, network and cabinets</t>
        </is>
      </c>
      <c r="D12" s="8" t="n">
        <v>28</v>
      </c>
    </row>
    <row r="13">
      <c r="A13" s="8" t="inlineStr">
        <is>
          <t>Discipline</t>
        </is>
      </c>
      <c r="B13" s="8" t="inlineStr">
        <is>
          <t>VMS</t>
        </is>
      </c>
      <c r="C13" s="8" t="inlineStr">
        <is>
          <t>Video management and wall</t>
        </is>
      </c>
      <c r="D13" s="8" t="n">
        <v>28</v>
      </c>
    </row>
    <row r="14">
      <c r="A14" s="8" t="inlineStr">
        <is>
          <t>EPC phase</t>
        </is>
      </c>
      <c r="B14" s="8" t="inlineStr">
        <is>
          <t>COM</t>
        </is>
      </c>
      <c r="C14" s="8" t="inlineStr">
        <is>
          <t>Commissioning and handover</t>
        </is>
      </c>
      <c r="D14" s="8" t="n">
        <v>71</v>
      </c>
    </row>
    <row r="15">
      <c r="A15" s="8" t="inlineStr">
        <is>
          <t>EPC phase</t>
        </is>
      </c>
      <c r="B15" s="8" t="inlineStr">
        <is>
          <t>CON</t>
        </is>
      </c>
      <c r="C15" s="8" t="inlineStr">
        <is>
          <t>Construction</t>
        </is>
      </c>
      <c r="D15" s="8" t="n">
        <v>126</v>
      </c>
    </row>
    <row r="16">
      <c r="A16" s="8" t="inlineStr">
        <is>
          <t>EPC phase</t>
        </is>
      </c>
      <c r="B16" s="8" t="inlineStr">
        <is>
          <t>ENG</t>
        </is>
      </c>
      <c r="C16" s="8" t="inlineStr">
        <is>
          <t>Engineering</t>
        </is>
      </c>
      <c r="D16" s="8" t="n">
        <v>196</v>
      </c>
    </row>
    <row r="17">
      <c r="A17" s="8" t="inlineStr">
        <is>
          <t>EPC phase</t>
        </is>
      </c>
      <c r="B17" s="8" t="inlineStr">
        <is>
          <t>MOB</t>
        </is>
      </c>
      <c r="C17" s="8" t="inlineStr">
        <is>
          <t>Mobilization</t>
        </is>
      </c>
      <c r="D17" s="8" t="n">
        <v>6</v>
      </c>
    </row>
    <row r="18">
      <c r="A18" s="8" t="inlineStr">
        <is>
          <t>EPC phase</t>
        </is>
      </c>
      <c r="B18" s="8" t="inlineStr">
        <is>
          <t>MS</t>
        </is>
      </c>
      <c r="C18" s="8" t="inlineStr">
        <is>
          <t>Milestone</t>
        </is>
      </c>
      <c r="D18" s="8" t="n">
        <v>91</v>
      </c>
    </row>
    <row r="19">
      <c r="A19" s="8" t="inlineStr">
        <is>
          <t>EPC phase</t>
        </is>
      </c>
      <c r="B19" s="8" t="inlineStr">
        <is>
          <t>PMG</t>
        </is>
      </c>
      <c r="C19" s="8" t="inlineStr">
        <is>
          <t>Project management</t>
        </is>
      </c>
      <c r="D19" s="8" t="n">
        <v>3</v>
      </c>
    </row>
    <row r="20">
      <c r="A20" s="8" t="inlineStr">
        <is>
          <t>EPC phase</t>
        </is>
      </c>
      <c r="B20" s="8" t="inlineStr">
        <is>
          <t>PRO</t>
        </is>
      </c>
      <c r="C20" s="8" t="inlineStr">
        <is>
          <t>Procurement</t>
        </is>
      </c>
      <c r="D20" s="8" t="n">
        <v>98</v>
      </c>
    </row>
    <row r="21">
      <c r="A21" s="8" t="inlineStr">
        <is>
          <t>Payment milestone</t>
        </is>
      </c>
      <c r="B21" s="8" t="inlineStr">
        <is>
          <t>-</t>
        </is>
      </c>
      <c r="C21" s="8" t="inlineStr">
        <is>
          <t>Not a payment milestone</t>
        </is>
      </c>
      <c r="D21" s="8" t="n">
        <v>10</v>
      </c>
    </row>
    <row r="22">
      <c r="A22" s="8" t="inlineStr">
        <is>
          <t>Payment milestone</t>
        </is>
      </c>
      <c r="B22" s="8" t="inlineStr">
        <is>
          <t>MS1</t>
        </is>
      </c>
      <c r="C22" s="8" t="inlineStr">
        <is>
          <t>MS1 Mobilization</t>
        </is>
      </c>
      <c r="D22" s="8" t="n">
        <v>6</v>
      </c>
    </row>
    <row r="23">
      <c r="A23" s="8" t="inlineStr">
        <is>
          <t>Payment milestone</t>
        </is>
      </c>
      <c r="B23" s="8" t="inlineStr">
        <is>
          <t>MS2</t>
        </is>
      </c>
      <c r="C23" s="8" t="inlineStr">
        <is>
          <t>MS2 Engineering submittal</t>
        </is>
      </c>
      <c r="D23" s="8" t="n">
        <v>98</v>
      </c>
    </row>
    <row r="24">
      <c r="A24" s="8" t="inlineStr">
        <is>
          <t>Payment milestone</t>
        </is>
      </c>
      <c r="B24" s="8" t="inlineStr">
        <is>
          <t>MS3</t>
        </is>
      </c>
      <c r="C24" s="8" t="inlineStr">
        <is>
          <t>MS3 SAR approval of engineering</t>
        </is>
      </c>
      <c r="D24" s="8" t="n">
        <v>98</v>
      </c>
    </row>
    <row r="25">
      <c r="A25" s="8" t="inlineStr">
        <is>
          <t>Payment milestone</t>
        </is>
      </c>
      <c r="B25" s="8" t="inlineStr">
        <is>
          <t>MS4</t>
        </is>
      </c>
      <c r="C25" s="8" t="inlineStr">
        <is>
          <t>MS4 Material delivery</t>
        </is>
      </c>
      <c r="D25" s="8" t="n">
        <v>112</v>
      </c>
    </row>
    <row r="26">
      <c r="A26" s="8" t="inlineStr">
        <is>
          <t>Payment milestone</t>
        </is>
      </c>
      <c r="B26" s="8" t="inlineStr">
        <is>
          <t>MS5</t>
        </is>
      </c>
      <c r="C26" s="8" t="inlineStr">
        <is>
          <t>MS5 Installation</t>
        </is>
      </c>
      <c r="D26" s="8" t="n">
        <v>140</v>
      </c>
    </row>
    <row r="27">
      <c r="A27" s="8" t="inlineStr">
        <is>
          <t>Payment milestone</t>
        </is>
      </c>
      <c r="B27" s="8" t="inlineStr">
        <is>
          <t>MS6</t>
        </is>
      </c>
      <c r="C27" s="8" t="inlineStr">
        <is>
          <t>MS6 Testing and commissioning (SAT)</t>
        </is>
      </c>
      <c r="D27" s="8" t="n">
        <v>43</v>
      </c>
    </row>
    <row r="28">
      <c r="A28" s="8" t="inlineStr">
        <is>
          <t>Payment milestone</t>
        </is>
      </c>
      <c r="B28" s="8" t="inlineStr">
        <is>
          <t>MS7</t>
        </is>
      </c>
      <c r="C28" s="8" t="inlineStr">
        <is>
          <t>MS7 Final acceptance and handover</t>
        </is>
      </c>
      <c r="D28" s="8" t="n">
        <v>84</v>
      </c>
    </row>
    <row r="29">
      <c r="A29" s="8" t="inlineStr">
        <is>
          <t>Programme phase</t>
        </is>
      </c>
      <c r="B29" s="8" t="inlineStr">
        <is>
          <t>COM</t>
        </is>
      </c>
      <c r="C29" s="8" t="inlineStr">
        <is>
          <t>Testing, commissioning and handover</t>
        </is>
      </c>
      <c r="D29" s="8" t="n">
        <v>99</v>
      </c>
    </row>
    <row r="30">
      <c r="A30" s="8" t="inlineStr">
        <is>
          <t>Programme phase</t>
        </is>
      </c>
      <c r="B30" s="8" t="inlineStr">
        <is>
          <t>CON</t>
        </is>
      </c>
      <c r="C30" s="8" t="inlineStr">
        <is>
          <t>Construction and installation</t>
        </is>
      </c>
      <c r="D30" s="8" t="n">
        <v>98</v>
      </c>
    </row>
    <row r="31">
      <c r="A31" s="8" t="inlineStr">
        <is>
          <t>Programme phase</t>
        </is>
      </c>
      <c r="B31" s="8" t="inlineStr">
        <is>
          <t>DES</t>
        </is>
      </c>
      <c r="C31" s="8" t="inlineStr">
        <is>
          <t>Design including survey (months 3-6)</t>
        </is>
      </c>
      <c r="D31" s="8" t="n">
        <v>168</v>
      </c>
    </row>
    <row r="32">
      <c r="A32" s="8" t="inlineStr">
        <is>
          <t>Programme phase</t>
        </is>
      </c>
      <c r="B32" s="8" t="inlineStr">
        <is>
          <t>ENA</t>
        </is>
      </c>
      <c r="C32" s="8" t="inlineStr">
        <is>
          <t>Enabling works</t>
        </is>
      </c>
      <c r="D32" s="8" t="n">
        <v>28</v>
      </c>
    </row>
    <row r="33">
      <c r="A33" s="8" t="inlineStr">
        <is>
          <t>Programme phase</t>
        </is>
      </c>
      <c r="B33" s="8" t="inlineStr">
        <is>
          <t>MOB</t>
        </is>
      </c>
      <c r="C33" s="8" t="inlineStr">
        <is>
          <t>Mobilization and survey permit (months 1-2)</t>
        </is>
      </c>
      <c r="D33" s="8" t="n">
        <v>6</v>
      </c>
    </row>
    <row r="34">
      <c r="A34" s="8" t="inlineStr">
        <is>
          <t>Programme phase</t>
        </is>
      </c>
      <c r="B34" s="8" t="inlineStr">
        <is>
          <t>MS</t>
        </is>
      </c>
      <c r="C34" s="8" t="inlineStr">
        <is>
          <t>Milestones</t>
        </is>
      </c>
      <c r="D34" s="8" t="n">
        <v>91</v>
      </c>
    </row>
    <row r="35">
      <c r="A35" s="8" t="inlineStr">
        <is>
          <t>Programme phase</t>
        </is>
      </c>
      <c r="B35" s="8" t="inlineStr">
        <is>
          <t>PMG</t>
        </is>
      </c>
      <c r="C35" s="8" t="inlineStr">
        <is>
          <t>Project management and closeout</t>
        </is>
      </c>
      <c r="D35" s="8" t="n">
        <v>3</v>
      </c>
    </row>
    <row r="36">
      <c r="A36" s="8" t="inlineStr">
        <is>
          <t>Programme phase</t>
        </is>
      </c>
      <c r="B36" s="8" t="inlineStr">
        <is>
          <t>PRO</t>
        </is>
      </c>
      <c r="C36" s="8" t="inlineStr">
        <is>
          <t>Procurement and supply</t>
        </is>
      </c>
      <c r="D36" s="8" t="n">
        <v>98</v>
      </c>
    </row>
    <row r="37">
      <c r="A37" s="8" t="inlineStr">
        <is>
          <t>Priority</t>
        </is>
      </c>
      <c r="B37" s="8" t="inlineStr">
        <is>
          <t>Priority 1</t>
        </is>
      </c>
      <c r="C37" s="8" t="inlineStr">
        <is>
          <t>Priority 1 - Makkah and Riyadh (Thumamah)</t>
        </is>
      </c>
      <c r="D37" s="8" t="n">
        <v>84</v>
      </c>
    </row>
    <row r="38">
      <c r="A38" s="8" t="inlineStr">
        <is>
          <t>Priority</t>
        </is>
      </c>
      <c r="B38" s="8" t="inlineStr">
        <is>
          <t>Priority 2</t>
        </is>
      </c>
      <c r="C38" s="8" t="inlineStr">
        <is>
          <t>Priority 2 - Riyadh (Malaz)</t>
        </is>
      </c>
      <c r="D38" s="8" t="n">
        <v>41</v>
      </c>
    </row>
    <row r="39">
      <c r="A39" s="8" t="inlineStr">
        <is>
          <t>Priority</t>
        </is>
      </c>
      <c r="B39" s="8" t="inlineStr">
        <is>
          <t>Standard</t>
        </is>
      </c>
      <c r="C39" s="8" t="inlineStr">
        <is>
          <t>Standard</t>
        </is>
      </c>
      <c r="D39" s="8" t="n">
        <v>466</v>
      </c>
    </row>
    <row r="40">
      <c r="A40" s="8" t="inlineStr">
        <is>
          <t>Railway</t>
        </is>
      </c>
      <c r="B40" s="8" t="inlineStr">
        <is>
          <t>ALL</t>
        </is>
      </c>
      <c r="C40" s="8" t="inlineStr">
        <is>
          <t>All railways</t>
        </is>
      </c>
      <c r="D40" s="8" t="n">
        <v>15</v>
      </c>
    </row>
    <row r="41">
      <c r="A41" s="8" t="inlineStr">
        <is>
          <t>Railway</t>
        </is>
      </c>
      <c r="B41" s="8" t="inlineStr">
        <is>
          <t>EWR</t>
        </is>
      </c>
      <c r="C41" s="8" t="inlineStr">
        <is>
          <t>EWR</t>
        </is>
      </c>
      <c r="D41" s="8" t="n">
        <v>164</v>
      </c>
    </row>
    <row r="42">
      <c r="A42" s="8" t="inlineStr">
        <is>
          <t>Railway</t>
        </is>
      </c>
      <c r="B42" s="8" t="inlineStr">
        <is>
          <t>HHR</t>
        </is>
      </c>
      <c r="C42" s="8" t="inlineStr">
        <is>
          <t>HHR</t>
        </is>
      </c>
      <c r="D42" s="8" t="n">
        <v>164</v>
      </c>
    </row>
    <row r="43">
      <c r="A43" s="8" t="inlineStr">
        <is>
          <t>Railway</t>
        </is>
      </c>
      <c r="B43" s="8" t="inlineStr">
        <is>
          <t>NSR</t>
        </is>
      </c>
      <c r="C43" s="8" t="inlineStr">
        <is>
          <t>NSR</t>
        </is>
      </c>
      <c r="D43" s="8" t="n">
        <v>248</v>
      </c>
    </row>
    <row r="44">
      <c r="A44" s="8" t="inlineStr">
        <is>
          <t>Responsibility</t>
        </is>
      </c>
      <c r="B44" s="8" t="inlineStr">
        <is>
          <t>ETECHS</t>
        </is>
      </c>
      <c r="C44" s="8" t="inlineStr">
        <is>
          <t>ETECHS</t>
        </is>
      </c>
      <c r="D44" s="8" t="n">
        <v>343</v>
      </c>
    </row>
    <row r="45">
      <c r="A45" s="8" t="inlineStr">
        <is>
          <t>Responsibility</t>
        </is>
      </c>
      <c r="B45" s="8" t="inlineStr">
        <is>
          <t>SAR</t>
        </is>
      </c>
      <c r="C45" s="8" t="inlineStr">
        <is>
          <t>SAR</t>
        </is>
      </c>
      <c r="D45" s="8" t="n">
        <v>164</v>
      </c>
    </row>
    <row r="46">
      <c r="A46" s="8" t="inlineStr">
        <is>
          <t>Responsibility</t>
        </is>
      </c>
      <c r="B46" s="8" t="inlineStr">
        <is>
          <t>SAR/HCIS</t>
        </is>
      </c>
      <c r="C46" s="8" t="inlineStr">
        <is>
          <t>SAR and HCIS</t>
        </is>
      </c>
      <c r="D46" s="8" t="n">
        <v>14</v>
      </c>
    </row>
    <row r="47">
      <c r="A47" s="8" t="inlineStr">
        <is>
          <t>Responsibility</t>
        </is>
      </c>
      <c r="B47" s="8" t="inlineStr">
        <is>
          <t>Vendor</t>
        </is>
      </c>
      <c r="C47" s="8" t="inlineStr">
        <is>
          <t>Vendor</t>
        </is>
      </c>
      <c r="D47" s="8" t="n">
        <v>70</v>
      </c>
    </row>
    <row r="48">
      <c r="A48" s="8" t="inlineStr">
        <is>
          <t>Design stage</t>
        </is>
      </c>
      <c r="B48" s="8" t="inlineStr">
        <is>
          <t>-</t>
        </is>
      </c>
      <c r="C48" s="8" t="inlineStr">
        <is>
          <t>Not a design stage</t>
        </is>
      </c>
      <c r="D48" s="8" t="n">
        <v>395</v>
      </c>
    </row>
    <row r="49">
      <c r="A49" s="8" t="inlineStr">
        <is>
          <t>Design stage</t>
        </is>
      </c>
      <c r="B49" s="8" t="inlineStr">
        <is>
          <t>As-built</t>
        </is>
      </c>
      <c r="C49" s="8" t="inlineStr">
        <is>
          <t>As-built and O&amp;M</t>
        </is>
      </c>
      <c r="D49" s="8" t="n">
        <v>28</v>
      </c>
    </row>
    <row r="50">
      <c r="A50" s="8" t="inlineStr">
        <is>
          <t>Design stage</t>
        </is>
      </c>
      <c r="B50" s="8" t="inlineStr">
        <is>
          <t>Concept</t>
        </is>
      </c>
      <c r="C50" s="8" t="inlineStr">
        <is>
          <t>Concept design</t>
        </is>
      </c>
      <c r="D50" s="8" t="n">
        <v>28</v>
      </c>
    </row>
    <row r="51">
      <c r="A51" s="8" t="inlineStr">
        <is>
          <t>Design stage</t>
        </is>
      </c>
      <c r="B51" s="8" t="inlineStr">
        <is>
          <t>Detailed</t>
        </is>
      </c>
      <c r="C51" s="8" t="inlineStr">
        <is>
          <t>Detailed design</t>
        </is>
      </c>
      <c r="D51" s="8" t="n">
        <v>28</v>
      </c>
    </row>
    <row r="52">
      <c r="A52" s="8" t="inlineStr">
        <is>
          <t>Design stage</t>
        </is>
      </c>
      <c r="B52" s="8" t="inlineStr">
        <is>
          <t>HCIS</t>
        </is>
      </c>
      <c r="C52" s="8" t="inlineStr">
        <is>
          <t>HCIS documentation</t>
        </is>
      </c>
      <c r="D52" s="8" t="n">
        <v>28</v>
      </c>
    </row>
    <row r="53">
      <c r="A53" s="8" t="inlineStr">
        <is>
          <t>Design stage</t>
        </is>
      </c>
      <c r="B53" s="8" t="inlineStr">
        <is>
          <t>IFC</t>
        </is>
      </c>
      <c r="C53" s="8" t="inlineStr">
        <is>
          <t>IFC and shop drawings</t>
        </is>
      </c>
      <c r="D53" s="8" t="n">
        <v>28</v>
      </c>
    </row>
    <row r="54">
      <c r="A54" s="8" t="inlineStr">
        <is>
          <t>Design stage</t>
        </is>
      </c>
      <c r="B54" s="8" t="inlineStr">
        <is>
          <t>Preliminary</t>
        </is>
      </c>
      <c r="C54" s="8" t="inlineStr">
        <is>
          <t>Preliminary design</t>
        </is>
      </c>
      <c r="D54" s="8" t="n">
        <v>28</v>
      </c>
    </row>
    <row r="55">
      <c r="A55" s="8" t="inlineStr">
        <is>
          <t>Design stage</t>
        </is>
      </c>
      <c r="B55" s="8" t="inlineStr">
        <is>
          <t>Survey</t>
        </is>
      </c>
      <c r="C55" s="8" t="inlineStr">
        <is>
          <t>Site survey</t>
        </is>
      </c>
      <c r="D55" s="8" t="n">
        <v>28</v>
      </c>
    </row>
    <row r="56">
      <c r="A56" s="8" t="inlineStr">
        <is>
          <t>Station</t>
        </is>
      </c>
      <c r="B56" s="8" t="inlineStr">
        <is>
          <t>EAB</t>
        </is>
      </c>
      <c r="C56" s="8" t="inlineStr">
        <is>
          <t>Abqaiq (EWR)</t>
        </is>
      </c>
      <c r="D56" s="8" t="n">
        <v>41</v>
      </c>
    </row>
    <row r="57">
      <c r="A57" s="8" t="inlineStr">
        <is>
          <t>Station</t>
        </is>
      </c>
      <c r="B57" s="8" t="inlineStr">
        <is>
          <t>EDM</t>
        </is>
      </c>
      <c r="C57" s="8" t="inlineStr">
        <is>
          <t>Dammam (EWR)</t>
        </is>
      </c>
      <c r="D57" s="8" t="n">
        <v>41</v>
      </c>
    </row>
    <row r="58">
      <c r="A58" s="8" t="inlineStr">
        <is>
          <t>Station</t>
        </is>
      </c>
      <c r="B58" s="8" t="inlineStr">
        <is>
          <t>EHF</t>
        </is>
      </c>
      <c r="C58" s="8" t="inlineStr">
        <is>
          <t>Hufuf (EWR)</t>
        </is>
      </c>
      <c r="D58" s="8" t="n">
        <v>41</v>
      </c>
    </row>
    <row r="59">
      <c r="A59" s="8" t="inlineStr">
        <is>
          <t>Station</t>
        </is>
      </c>
      <c r="B59" s="8" t="inlineStr">
        <is>
          <t>ERY</t>
        </is>
      </c>
      <c r="C59" s="8" t="inlineStr">
        <is>
          <t>Riyadh (Malaz) (EWR)</t>
        </is>
      </c>
      <c r="D59" s="8" t="n">
        <v>41</v>
      </c>
    </row>
    <row r="60">
      <c r="A60" s="8" t="inlineStr">
        <is>
          <t>Station</t>
        </is>
      </c>
      <c r="B60" s="8" t="inlineStr">
        <is>
          <t>HJD</t>
        </is>
      </c>
      <c r="C60" s="8" t="inlineStr">
        <is>
          <t>Jeddah (HHR)</t>
        </is>
      </c>
      <c r="D60" s="8" t="n">
        <v>41</v>
      </c>
    </row>
    <row r="61">
      <c r="A61" s="8" t="inlineStr">
        <is>
          <t>Station</t>
        </is>
      </c>
      <c r="B61" s="8" t="inlineStr">
        <is>
          <t>HKA</t>
        </is>
      </c>
      <c r="C61" s="8" t="inlineStr">
        <is>
          <t>KAEC (HHR)</t>
        </is>
      </c>
      <c r="D61" s="8" t="n">
        <v>41</v>
      </c>
    </row>
    <row r="62">
      <c r="A62" s="8" t="inlineStr">
        <is>
          <t>Station</t>
        </is>
      </c>
      <c r="B62" s="8" t="inlineStr">
        <is>
          <t>HMD</t>
        </is>
      </c>
      <c r="C62" s="8" t="inlineStr">
        <is>
          <t>Madinah (HHR)</t>
        </is>
      </c>
      <c r="D62" s="8" t="n">
        <v>41</v>
      </c>
    </row>
    <row r="63">
      <c r="A63" s="8" t="inlineStr">
        <is>
          <t>Station</t>
        </is>
      </c>
      <c r="B63" s="8" t="inlineStr">
        <is>
          <t>HMK</t>
        </is>
      </c>
      <c r="C63" s="8" t="inlineStr">
        <is>
          <t>Makkah (HHR)</t>
        </is>
      </c>
      <c r="D63" s="8" t="n">
        <v>41</v>
      </c>
    </row>
    <row r="64">
      <c r="A64" s="8" t="inlineStr">
        <is>
          <t>Station</t>
        </is>
      </c>
      <c r="B64" s="8" t="inlineStr">
        <is>
          <t>NHL</t>
        </is>
      </c>
      <c r="C64" s="8" t="inlineStr">
        <is>
          <t>Hail (NSR)</t>
        </is>
      </c>
      <c r="D64" s="8" t="n">
        <v>41</v>
      </c>
    </row>
    <row r="65">
      <c r="A65" s="8" t="inlineStr">
        <is>
          <t>Station</t>
        </is>
      </c>
      <c r="B65" s="8" t="inlineStr">
        <is>
          <t>NJF</t>
        </is>
      </c>
      <c r="C65" s="8" t="inlineStr">
        <is>
          <t>Al Jouf (NSR)</t>
        </is>
      </c>
      <c r="D65" s="8" t="n">
        <v>41</v>
      </c>
    </row>
    <row r="66">
      <c r="A66" s="8" t="inlineStr">
        <is>
          <t>Station</t>
        </is>
      </c>
      <c r="B66" s="8" t="inlineStr">
        <is>
          <t>NMJ</t>
        </is>
      </c>
      <c r="C66" s="8" t="inlineStr">
        <is>
          <t>Al Majma'ah (NSR)</t>
        </is>
      </c>
      <c r="D66" s="8" t="n">
        <v>41</v>
      </c>
    </row>
    <row r="67">
      <c r="A67" s="8" t="inlineStr">
        <is>
          <t>Station</t>
        </is>
      </c>
      <c r="B67" s="8" t="inlineStr">
        <is>
          <t>NQR</t>
        </is>
      </c>
      <c r="C67" s="8" t="inlineStr">
        <is>
          <t>Al Qurayyat (NSR)</t>
        </is>
      </c>
      <c r="D67" s="8" t="n">
        <v>41</v>
      </c>
    </row>
    <row r="68">
      <c r="A68" s="8" t="inlineStr">
        <is>
          <t>Station</t>
        </is>
      </c>
      <c r="B68" s="8" t="inlineStr">
        <is>
          <t>NQS</t>
        </is>
      </c>
      <c r="C68" s="8" t="inlineStr">
        <is>
          <t>Al Qassim (NSR)</t>
        </is>
      </c>
      <c r="D68" s="8" t="n">
        <v>41</v>
      </c>
    </row>
    <row r="69">
      <c r="A69" s="8" t="inlineStr">
        <is>
          <t>Station</t>
        </is>
      </c>
      <c r="B69" s="8" t="inlineStr">
        <is>
          <t>NRY</t>
        </is>
      </c>
      <c r="C69" s="8" t="inlineStr">
        <is>
          <t>Riyadh (Thumamah) (NSR)</t>
        </is>
      </c>
      <c r="D69" s="8" t="n">
        <v>43</v>
      </c>
    </row>
    <row r="70">
      <c r="A70" s="8" t="inlineStr">
        <is>
          <t>Station</t>
        </is>
      </c>
      <c r="B70" s="8" t="inlineStr">
        <is>
          <t>PRJ</t>
        </is>
      </c>
      <c r="C70" s="8" t="inlineStr">
        <is>
          <t>Project level</t>
        </is>
      </c>
      <c r="D70" s="8" t="n">
        <v>15</v>
      </c>
    </row>
    <row r="71">
      <c r="A71" s="8" t="inlineStr">
        <is>
          <t>Submittal or approval</t>
        </is>
      </c>
      <c r="B71" s="8" t="inlineStr">
        <is>
          <t>-</t>
        </is>
      </c>
      <c r="C71" s="8" t="inlineStr">
        <is>
          <t>Not applicable</t>
        </is>
      </c>
      <c r="D71" s="8" t="n">
        <v>388</v>
      </c>
    </row>
    <row r="72">
      <c r="A72" s="8" t="inlineStr">
        <is>
          <t>Submittal or approval</t>
        </is>
      </c>
      <c r="B72" s="8" t="inlineStr">
        <is>
          <t>Approval</t>
        </is>
      </c>
      <c r="C72" s="8" t="inlineStr">
        <is>
          <t>Approval</t>
        </is>
      </c>
      <c r="D72" s="8" t="n">
        <v>102</v>
      </c>
    </row>
    <row r="73">
      <c r="A73" s="8" t="inlineStr">
        <is>
          <t>Submittal or approval</t>
        </is>
      </c>
      <c r="B73" s="8" t="inlineStr">
        <is>
          <t>Submittal</t>
        </is>
      </c>
      <c r="C73" s="8" t="inlineStr">
        <is>
          <t>Submittal</t>
        </is>
      </c>
      <c r="D73" s="8" t="n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8" customWidth="1" min="3" max="3"/>
    <col width="30" customWidth="1" min="4" max="4"/>
  </cols>
  <sheetData>
    <row r="1" ht="32" customHeight="1">
      <c r="A1" s="7" t="inlineStr">
        <is>
          <t>WBS code</t>
        </is>
      </c>
      <c r="B1" s="7" t="inlineStr">
        <is>
          <t>Name</t>
        </is>
      </c>
      <c r="C1" s="7" t="inlineStr">
        <is>
          <t>Level</t>
        </is>
      </c>
      <c r="D1" s="7" t="inlineStr">
        <is>
          <t>Parent</t>
        </is>
      </c>
    </row>
    <row r="2">
      <c r="A2" s="8" t="inlineStr">
        <is>
          <t>0580</t>
        </is>
      </c>
      <c r="B2" s="8" t="inlineStr">
        <is>
          <t>0580-Security Technology Salutation after eliminating Passenger Checking Roles</t>
        </is>
      </c>
      <c r="C2" s="8" t="n">
        <v>1</v>
      </c>
      <c r="D2" s="8" t="inlineStr"/>
    </row>
    <row r="3">
      <c r="A3" s="8" t="inlineStr">
        <is>
          <t>PM</t>
        </is>
      </c>
      <c r="B3" s="8" t="inlineStr">
        <is>
          <t>Project Management and Mobilization</t>
        </is>
      </c>
      <c r="C3" s="8" t="n">
        <v>2</v>
      </c>
      <c r="D3" s="8" t="inlineStr">
        <is>
          <t>0580</t>
        </is>
      </c>
    </row>
    <row r="4">
      <c r="A4" s="8" t="inlineStr">
        <is>
          <t>ENG</t>
        </is>
      </c>
      <c r="B4" s="8" t="inlineStr">
        <is>
          <t>Engineering</t>
        </is>
      </c>
      <c r="C4" s="8" t="n">
        <v>2</v>
      </c>
      <c r="D4" s="8" t="inlineStr">
        <is>
          <t>0580</t>
        </is>
      </c>
    </row>
    <row r="5">
      <c r="A5" s="8" t="inlineStr">
        <is>
          <t>PRO</t>
        </is>
      </c>
      <c r="B5" s="8" t="inlineStr">
        <is>
          <t>Procurement</t>
        </is>
      </c>
      <c r="C5" s="8" t="n">
        <v>2</v>
      </c>
      <c r="D5" s="8" t="inlineStr">
        <is>
          <t>0580</t>
        </is>
      </c>
    </row>
    <row r="6">
      <c r="A6" s="8" t="inlineStr">
        <is>
          <t>CON</t>
        </is>
      </c>
      <c r="B6" s="8" t="inlineStr">
        <is>
          <t>Construction</t>
        </is>
      </c>
      <c r="C6" s="8" t="n">
        <v>2</v>
      </c>
      <c r="D6" s="8" t="inlineStr">
        <is>
          <t>0580</t>
        </is>
      </c>
    </row>
    <row r="7">
      <c r="A7" s="8" t="inlineStr">
        <is>
          <t>COM</t>
        </is>
      </c>
      <c r="B7" s="8" t="inlineStr">
        <is>
          <t>Commissioning and Handover</t>
        </is>
      </c>
      <c r="C7" s="8" t="n">
        <v>2</v>
      </c>
      <c r="D7" s="8" t="inlineStr">
        <is>
          <t>0580</t>
        </is>
      </c>
    </row>
    <row r="8">
      <c r="A8" s="8" t="inlineStr">
        <is>
          <t>PM.MOB</t>
        </is>
      </c>
      <c r="B8" s="8" t="inlineStr">
        <is>
          <t>Mobilization and baseline programme</t>
        </is>
      </c>
      <c r="C8" s="8" t="n">
        <v>3</v>
      </c>
      <c r="D8" s="8" t="inlineStr">
        <is>
          <t>PM</t>
        </is>
      </c>
    </row>
    <row r="9">
      <c r="A9" s="8" t="inlineStr">
        <is>
          <t>PM.MST</t>
        </is>
      </c>
      <c r="B9" s="8" t="inlineStr">
        <is>
          <t>Contract milestones</t>
        </is>
      </c>
      <c r="C9" s="8" t="n">
        <v>3</v>
      </c>
      <c r="D9" s="8" t="inlineStr">
        <is>
          <t>PM</t>
        </is>
      </c>
    </row>
    <row r="10">
      <c r="A10" s="8" t="inlineStr">
        <is>
          <t>PM.CLO</t>
        </is>
      </c>
      <c r="B10" s="8" t="inlineStr">
        <is>
          <t>Closeout</t>
        </is>
      </c>
      <c r="C10" s="8" t="n">
        <v>3</v>
      </c>
      <c r="D10" s="8" t="inlineStr">
        <is>
          <t>PM</t>
        </is>
      </c>
    </row>
    <row r="11">
      <c r="A11" s="8" t="inlineStr">
        <is>
          <t>ENG.NRY</t>
        </is>
      </c>
      <c r="B11" s="8" t="inlineStr">
        <is>
          <t>Riyadh (Thumamah) (NSR)</t>
        </is>
      </c>
      <c r="C11" s="8" t="n">
        <v>3</v>
      </c>
      <c r="D11" s="8" t="inlineStr">
        <is>
          <t>ENG</t>
        </is>
      </c>
    </row>
    <row r="12">
      <c r="A12" s="8" t="inlineStr">
        <is>
          <t>PRO.NRY</t>
        </is>
      </c>
      <c r="B12" s="8" t="inlineStr">
        <is>
          <t>Riyadh (Thumamah) (NSR)</t>
        </is>
      </c>
      <c r="C12" s="8" t="n">
        <v>3</v>
      </c>
      <c r="D12" s="8" t="inlineStr">
        <is>
          <t>PRO</t>
        </is>
      </c>
    </row>
    <row r="13">
      <c r="A13" s="8" t="inlineStr">
        <is>
          <t>CON.NRY</t>
        </is>
      </c>
      <c r="B13" s="8" t="inlineStr">
        <is>
          <t>Riyadh (Thumamah) (NSR)</t>
        </is>
      </c>
      <c r="C13" s="8" t="n">
        <v>3</v>
      </c>
      <c r="D13" s="8" t="inlineStr">
        <is>
          <t>CON</t>
        </is>
      </c>
    </row>
    <row r="14">
      <c r="A14" s="8" t="inlineStr">
        <is>
          <t>COM.NRY</t>
        </is>
      </c>
      <c r="B14" s="8" t="inlineStr">
        <is>
          <t>Riyadh (Thumamah) (NSR)</t>
        </is>
      </c>
      <c r="C14" s="8" t="n">
        <v>3</v>
      </c>
      <c r="D14" s="8" t="inlineStr">
        <is>
          <t>COM</t>
        </is>
      </c>
    </row>
    <row r="15">
      <c r="A15" s="8" t="inlineStr">
        <is>
          <t>ENG.NRY.SRV</t>
        </is>
      </c>
      <c r="B15" s="8" t="inlineStr">
        <is>
          <t>Site survey and as-found verification</t>
        </is>
      </c>
      <c r="C15" s="8" t="n">
        <v>4</v>
      </c>
      <c r="D15" s="8" t="inlineStr">
        <is>
          <t>ENG.NRY</t>
        </is>
      </c>
    </row>
    <row r="16">
      <c r="A16" s="8" t="inlineStr">
        <is>
          <t>ENG.NRY.SRV.SUB</t>
        </is>
      </c>
      <c r="B16" s="8" t="inlineStr">
        <is>
          <t>Submittal</t>
        </is>
      </c>
      <c r="C16" s="8" t="n">
        <v>5</v>
      </c>
      <c r="D16" s="8" t="inlineStr">
        <is>
          <t>ENG.NRY.SRV</t>
        </is>
      </c>
    </row>
    <row r="17">
      <c r="A17" s="8" t="inlineStr">
        <is>
          <t>ENG.NRY.SRV.APR</t>
        </is>
      </c>
      <c r="B17" s="8" t="inlineStr">
        <is>
          <t>Approval</t>
        </is>
      </c>
      <c r="C17" s="8" t="n">
        <v>5</v>
      </c>
      <c r="D17" s="8" t="inlineStr">
        <is>
          <t>ENG.NRY.SRV</t>
        </is>
      </c>
    </row>
    <row r="18">
      <c r="A18" s="8" t="inlineStr">
        <is>
          <t>ENG.NRY.CNC</t>
        </is>
      </c>
      <c r="B18" s="8" t="inlineStr">
        <is>
          <t>Concept design</t>
        </is>
      </c>
      <c r="C18" s="8" t="n">
        <v>4</v>
      </c>
      <c r="D18" s="8" t="inlineStr">
        <is>
          <t>ENG.NRY</t>
        </is>
      </c>
    </row>
    <row r="19">
      <c r="A19" s="8" t="inlineStr">
        <is>
          <t>ENG.NRY.CNC.SUB</t>
        </is>
      </c>
      <c r="B19" s="8" t="inlineStr">
        <is>
          <t>Submittal</t>
        </is>
      </c>
      <c r="C19" s="8" t="n">
        <v>5</v>
      </c>
      <c r="D19" s="8" t="inlineStr">
        <is>
          <t>ENG.NRY.CNC</t>
        </is>
      </c>
    </row>
    <row r="20">
      <c r="A20" s="8" t="inlineStr">
        <is>
          <t>ENG.NRY.CNC.APR</t>
        </is>
      </c>
      <c r="B20" s="8" t="inlineStr">
        <is>
          <t>Approval</t>
        </is>
      </c>
      <c r="C20" s="8" t="n">
        <v>5</v>
      </c>
      <c r="D20" s="8" t="inlineStr">
        <is>
          <t>ENG.NRY.CNC</t>
        </is>
      </c>
    </row>
    <row r="21">
      <c r="A21" s="8" t="inlineStr">
        <is>
          <t>ENG.NRY.PRE</t>
        </is>
      </c>
      <c r="B21" s="8" t="inlineStr">
        <is>
          <t>Preliminary (schematic) design</t>
        </is>
      </c>
      <c r="C21" s="8" t="n">
        <v>4</v>
      </c>
      <c r="D21" s="8" t="inlineStr">
        <is>
          <t>ENG.NRY</t>
        </is>
      </c>
    </row>
    <row r="22">
      <c r="A22" s="8" t="inlineStr">
        <is>
          <t>ENG.NRY.PRE.SUB</t>
        </is>
      </c>
      <c r="B22" s="8" t="inlineStr">
        <is>
          <t>Submittal</t>
        </is>
      </c>
      <c r="C22" s="8" t="n">
        <v>5</v>
      </c>
      <c r="D22" s="8" t="inlineStr">
        <is>
          <t>ENG.NRY.PRE</t>
        </is>
      </c>
    </row>
    <row r="23">
      <c r="A23" s="8" t="inlineStr">
        <is>
          <t>ENG.NRY.PRE.APR</t>
        </is>
      </c>
      <c r="B23" s="8" t="inlineStr">
        <is>
          <t>Approval</t>
        </is>
      </c>
      <c r="C23" s="8" t="n">
        <v>5</v>
      </c>
      <c r="D23" s="8" t="inlineStr">
        <is>
          <t>ENG.NRY.PRE</t>
        </is>
      </c>
    </row>
    <row r="24">
      <c r="A24" s="8" t="inlineStr">
        <is>
          <t>ENG.NRY.DET</t>
        </is>
      </c>
      <c r="B24" s="8" t="inlineStr">
        <is>
          <t>Detailed design</t>
        </is>
      </c>
      <c r="C24" s="8" t="n">
        <v>4</v>
      </c>
      <c r="D24" s="8" t="inlineStr">
        <is>
          <t>ENG.NRY</t>
        </is>
      </c>
    </row>
    <row r="25">
      <c r="A25" s="8" t="inlineStr">
        <is>
          <t>ENG.NRY.DET.SUB</t>
        </is>
      </c>
      <c r="B25" s="8" t="inlineStr">
        <is>
          <t>Submittal</t>
        </is>
      </c>
      <c r="C25" s="8" t="n">
        <v>5</v>
      </c>
      <c r="D25" s="8" t="inlineStr">
        <is>
          <t>ENG.NRY.DET</t>
        </is>
      </c>
    </row>
    <row r="26">
      <c r="A26" s="8" t="inlineStr">
        <is>
          <t>ENG.NRY.DET.APR</t>
        </is>
      </c>
      <c r="B26" s="8" t="inlineStr">
        <is>
          <t>Approval</t>
        </is>
      </c>
      <c r="C26" s="8" t="n">
        <v>5</v>
      </c>
      <c r="D26" s="8" t="inlineStr">
        <is>
          <t>ENG.NRY.DET</t>
        </is>
      </c>
    </row>
    <row r="27">
      <c r="A27" s="8" t="inlineStr">
        <is>
          <t>ENG.NRY.IFC</t>
        </is>
      </c>
      <c r="B27" s="8" t="inlineStr">
        <is>
          <t>IFC and shop drawings</t>
        </is>
      </c>
      <c r="C27" s="8" t="n">
        <v>4</v>
      </c>
      <c r="D27" s="8" t="inlineStr">
        <is>
          <t>ENG.NRY</t>
        </is>
      </c>
    </row>
    <row r="28">
      <c r="A28" s="8" t="inlineStr">
        <is>
          <t>ENG.NRY.IFC.SUB</t>
        </is>
      </c>
      <c r="B28" s="8" t="inlineStr">
        <is>
          <t>Submittal</t>
        </is>
      </c>
      <c r="C28" s="8" t="n">
        <v>5</v>
      </c>
      <c r="D28" s="8" t="inlineStr">
        <is>
          <t>ENG.NRY.IFC</t>
        </is>
      </c>
    </row>
    <row r="29">
      <c r="A29" s="8" t="inlineStr">
        <is>
          <t>ENG.NRY.IFC.APR</t>
        </is>
      </c>
      <c r="B29" s="8" t="inlineStr">
        <is>
          <t>Approval</t>
        </is>
      </c>
      <c r="C29" s="8" t="n">
        <v>5</v>
      </c>
      <c r="D29" s="8" t="inlineStr">
        <is>
          <t>ENG.NRY.IFC</t>
        </is>
      </c>
    </row>
    <row r="30">
      <c r="A30" s="8" t="inlineStr">
        <is>
          <t>ENG.NRY.HCS</t>
        </is>
      </c>
      <c r="B30" s="8" t="inlineStr">
        <is>
          <t>HCIS documentation (Stage 3 and 4)</t>
        </is>
      </c>
      <c r="C30" s="8" t="n">
        <v>4</v>
      </c>
      <c r="D30" s="8" t="inlineStr">
        <is>
          <t>ENG.NRY</t>
        </is>
      </c>
    </row>
    <row r="31">
      <c r="A31" s="8" t="inlineStr">
        <is>
          <t>ENG.NRY.HCS.SUB</t>
        </is>
      </c>
      <c r="B31" s="8" t="inlineStr">
        <is>
          <t>Submittal</t>
        </is>
      </c>
      <c r="C31" s="8" t="n">
        <v>5</v>
      </c>
      <c r="D31" s="8" t="inlineStr">
        <is>
          <t>ENG.NRY.HCS</t>
        </is>
      </c>
    </row>
    <row r="32">
      <c r="A32" s="8" t="inlineStr">
        <is>
          <t>ENG.NRY.HCS.APR</t>
        </is>
      </c>
      <c r="B32" s="8" t="inlineStr">
        <is>
          <t>Approval</t>
        </is>
      </c>
      <c r="C32" s="8" t="n">
        <v>5</v>
      </c>
      <c r="D32" s="8" t="inlineStr">
        <is>
          <t>ENG.NRY.HCS</t>
        </is>
      </c>
    </row>
    <row r="33">
      <c r="A33" s="8" t="inlineStr">
        <is>
          <t>ENG.NRY.ASB</t>
        </is>
      </c>
      <c r="B33" s="8" t="inlineStr">
        <is>
          <t>As-built and O&amp;M documentation</t>
        </is>
      </c>
      <c r="C33" s="8" t="n">
        <v>4</v>
      </c>
      <c r="D33" s="8" t="inlineStr">
        <is>
          <t>ENG.NRY</t>
        </is>
      </c>
    </row>
    <row r="34">
      <c r="A34" s="8" t="inlineStr">
        <is>
          <t>ENG.NRY.ASB.SUB</t>
        </is>
      </c>
      <c r="B34" s="8" t="inlineStr">
        <is>
          <t>Submittal</t>
        </is>
      </c>
      <c r="C34" s="8" t="n">
        <v>5</v>
      </c>
      <c r="D34" s="8" t="inlineStr">
        <is>
          <t>ENG.NRY.ASB</t>
        </is>
      </c>
    </row>
    <row r="35">
      <c r="A35" s="8" t="inlineStr">
        <is>
          <t>ENG.NRY.ASB.APR</t>
        </is>
      </c>
      <c r="B35" s="8" t="inlineStr">
        <is>
          <t>Approval</t>
        </is>
      </c>
      <c r="C35" s="8" t="n">
        <v>5</v>
      </c>
      <c r="D35" s="8" t="inlineStr">
        <is>
          <t>ENG.NRY.ASB</t>
        </is>
      </c>
    </row>
    <row r="36">
      <c r="A36" s="8" t="inlineStr">
        <is>
          <t>PRO.NRY.CCT</t>
        </is>
      </c>
      <c r="B36" s="8" t="inlineStr">
        <is>
          <t>CCTV system</t>
        </is>
      </c>
      <c r="C36" s="8" t="n">
        <v>4</v>
      </c>
      <c r="D36" s="8" t="inlineStr">
        <is>
          <t>PRO.NRY</t>
        </is>
      </c>
    </row>
    <row r="37">
      <c r="A37" s="8" t="inlineStr">
        <is>
          <t>PRO.NRY.VMS</t>
        </is>
      </c>
      <c r="B37" s="8" t="inlineStr">
        <is>
          <t>Video management and video wall</t>
        </is>
      </c>
      <c r="C37" s="8" t="n">
        <v>4</v>
      </c>
      <c r="D37" s="8" t="inlineStr">
        <is>
          <t>PRO.NRY</t>
        </is>
      </c>
    </row>
    <row r="38">
      <c r="A38" s="8" t="inlineStr">
        <is>
          <t>PRO.NRY.ACC</t>
        </is>
      </c>
      <c r="B38" s="8" t="inlineStr">
        <is>
          <t>Access control and intercom</t>
        </is>
      </c>
      <c r="C38" s="8" t="n">
        <v>4</v>
      </c>
      <c r="D38" s="8" t="inlineStr">
        <is>
          <t>PRO.NRY</t>
        </is>
      </c>
    </row>
    <row r="39">
      <c r="A39" s="8" t="inlineStr">
        <is>
          <t>PRO.NRY.UPN</t>
        </is>
      </c>
      <c r="B39" s="8" t="inlineStr">
        <is>
          <t>UPS, network and cabinets</t>
        </is>
      </c>
      <c r="C39" s="8" t="n">
        <v>4</v>
      </c>
      <c r="D39" s="8" t="inlineStr">
        <is>
          <t>PRO.NRY</t>
        </is>
      </c>
    </row>
    <row r="40">
      <c r="A40" s="8" t="inlineStr">
        <is>
          <t>PRO.NRY.LOG</t>
        </is>
      </c>
      <c r="B40" s="8" t="inlineStr">
        <is>
          <t>FAT and logistics</t>
        </is>
      </c>
      <c r="C40" s="8" t="n">
        <v>4</v>
      </c>
      <c r="D40" s="8" t="inlineStr">
        <is>
          <t>PRO.NRY</t>
        </is>
      </c>
    </row>
    <row r="41">
      <c r="A41" s="8" t="inlineStr">
        <is>
          <t>CON.NRY.ENA</t>
        </is>
      </c>
      <c r="B41" s="8" t="inlineStr">
        <is>
          <t>Enabling works</t>
        </is>
      </c>
      <c r="C41" s="8" t="n">
        <v>4</v>
      </c>
      <c r="D41" s="8" t="inlineStr">
        <is>
          <t>CON.NRY</t>
        </is>
      </c>
    </row>
    <row r="42">
      <c r="A42" s="8" t="inlineStr">
        <is>
          <t>CON.NRY.CIV</t>
        </is>
      </c>
      <c r="B42" s="8" t="inlineStr">
        <is>
          <t>Civil works</t>
        </is>
      </c>
      <c r="C42" s="8" t="n">
        <v>4</v>
      </c>
      <c r="D42" s="8" t="inlineStr">
        <is>
          <t>CON.NRY</t>
        </is>
      </c>
    </row>
    <row r="43">
      <c r="A43" s="8" t="inlineStr">
        <is>
          <t>CON.NRY.INS</t>
        </is>
      </c>
      <c r="B43" s="8" t="inlineStr">
        <is>
          <t>Installation</t>
        </is>
      </c>
      <c r="C43" s="8" t="n">
        <v>4</v>
      </c>
      <c r="D43" s="8" t="inlineStr">
        <is>
          <t>CON.NRY</t>
        </is>
      </c>
    </row>
    <row r="44">
      <c r="A44" s="8" t="inlineStr">
        <is>
          <t>COM.NRY.TST</t>
        </is>
      </c>
      <c r="B44" s="8" t="inlineStr">
        <is>
          <t>Testing and commissioning</t>
        </is>
      </c>
      <c r="C44" s="8" t="n">
        <v>4</v>
      </c>
      <c r="D44" s="8" t="inlineStr">
        <is>
          <t>COM.NRY</t>
        </is>
      </c>
    </row>
    <row r="45">
      <c r="A45" s="8" t="inlineStr">
        <is>
          <t>COM.NRY.TRN</t>
        </is>
      </c>
      <c r="B45" s="8" t="inlineStr">
        <is>
          <t>Training</t>
        </is>
      </c>
      <c r="C45" s="8" t="n">
        <v>4</v>
      </c>
      <c r="D45" s="8" t="inlineStr">
        <is>
          <t>COM.NRY</t>
        </is>
      </c>
    </row>
    <row r="46">
      <c r="A46" s="8" t="inlineStr">
        <is>
          <t>COM.NRY.TOA</t>
        </is>
      </c>
      <c r="B46" s="8" t="inlineStr">
        <is>
          <t>Trial operation and acceptance</t>
        </is>
      </c>
      <c r="C46" s="8" t="n">
        <v>4</v>
      </c>
      <c r="D46" s="8" t="inlineStr">
        <is>
          <t>COM.NRY</t>
        </is>
      </c>
    </row>
    <row r="47">
      <c r="A47" s="8" t="inlineStr">
        <is>
          <t>COM.NRY.MOK</t>
        </is>
      </c>
      <c r="B47" s="8" t="inlineStr">
        <is>
          <t>Mock-up approval</t>
        </is>
      </c>
      <c r="C47" s="8" t="n">
        <v>4</v>
      </c>
      <c r="D47" s="8" t="inlineStr">
        <is>
          <t>COM.NRY</t>
        </is>
      </c>
    </row>
    <row r="48">
      <c r="A48" s="8" t="inlineStr">
        <is>
          <t>ENG.HMK</t>
        </is>
      </c>
      <c r="B48" s="8" t="inlineStr">
        <is>
          <t>Makkah (HHR)</t>
        </is>
      </c>
      <c r="C48" s="8" t="n">
        <v>3</v>
      </c>
      <c r="D48" s="8" t="inlineStr">
        <is>
          <t>ENG</t>
        </is>
      </c>
    </row>
    <row r="49">
      <c r="A49" s="8" t="inlineStr">
        <is>
          <t>PRO.HMK</t>
        </is>
      </c>
      <c r="B49" s="8" t="inlineStr">
        <is>
          <t>Makkah (HHR)</t>
        </is>
      </c>
      <c r="C49" s="8" t="n">
        <v>3</v>
      </c>
      <c r="D49" s="8" t="inlineStr">
        <is>
          <t>PRO</t>
        </is>
      </c>
    </row>
    <row r="50">
      <c r="A50" s="8" t="inlineStr">
        <is>
          <t>CON.HMK</t>
        </is>
      </c>
      <c r="B50" s="8" t="inlineStr">
        <is>
          <t>Makkah (HHR)</t>
        </is>
      </c>
      <c r="C50" s="8" t="n">
        <v>3</v>
      </c>
      <c r="D50" s="8" t="inlineStr">
        <is>
          <t>CON</t>
        </is>
      </c>
    </row>
    <row r="51">
      <c r="A51" s="8" t="inlineStr">
        <is>
          <t>COM.HMK</t>
        </is>
      </c>
      <c r="B51" s="8" t="inlineStr">
        <is>
          <t>Makkah (HHR)</t>
        </is>
      </c>
      <c r="C51" s="8" t="n">
        <v>3</v>
      </c>
      <c r="D51" s="8" t="inlineStr">
        <is>
          <t>COM</t>
        </is>
      </c>
    </row>
    <row r="52">
      <c r="A52" s="8" t="inlineStr">
        <is>
          <t>ENG.HMK.SRV</t>
        </is>
      </c>
      <c r="B52" s="8" t="inlineStr">
        <is>
          <t>Site survey and as-found verification</t>
        </is>
      </c>
      <c r="C52" s="8" t="n">
        <v>4</v>
      </c>
      <c r="D52" s="8" t="inlineStr">
        <is>
          <t>ENG.HMK</t>
        </is>
      </c>
    </row>
    <row r="53">
      <c r="A53" s="8" t="inlineStr">
        <is>
          <t>ENG.HMK.SRV.SUB</t>
        </is>
      </c>
      <c r="B53" s="8" t="inlineStr">
        <is>
          <t>Submittal</t>
        </is>
      </c>
      <c r="C53" s="8" t="n">
        <v>5</v>
      </c>
      <c r="D53" s="8" t="inlineStr">
        <is>
          <t>ENG.HMK.SRV</t>
        </is>
      </c>
    </row>
    <row r="54">
      <c r="A54" s="8" t="inlineStr">
        <is>
          <t>ENG.HMK.SRV.APR</t>
        </is>
      </c>
      <c r="B54" s="8" t="inlineStr">
        <is>
          <t>Approval</t>
        </is>
      </c>
      <c r="C54" s="8" t="n">
        <v>5</v>
      </c>
      <c r="D54" s="8" t="inlineStr">
        <is>
          <t>ENG.HMK.SRV</t>
        </is>
      </c>
    </row>
    <row r="55">
      <c r="A55" s="8" t="inlineStr">
        <is>
          <t>ENG.HMK.CNC</t>
        </is>
      </c>
      <c r="B55" s="8" t="inlineStr">
        <is>
          <t>Concept design</t>
        </is>
      </c>
      <c r="C55" s="8" t="n">
        <v>4</v>
      </c>
      <c r="D55" s="8" t="inlineStr">
        <is>
          <t>ENG.HMK</t>
        </is>
      </c>
    </row>
    <row r="56">
      <c r="A56" s="8" t="inlineStr">
        <is>
          <t>ENG.HMK.CNC.SUB</t>
        </is>
      </c>
      <c r="B56" s="8" t="inlineStr">
        <is>
          <t>Submittal</t>
        </is>
      </c>
      <c r="C56" s="8" t="n">
        <v>5</v>
      </c>
      <c r="D56" s="8" t="inlineStr">
        <is>
          <t>ENG.HMK.CNC</t>
        </is>
      </c>
    </row>
    <row r="57">
      <c r="A57" s="8" t="inlineStr">
        <is>
          <t>ENG.HMK.CNC.APR</t>
        </is>
      </c>
      <c r="B57" s="8" t="inlineStr">
        <is>
          <t>Approval</t>
        </is>
      </c>
      <c r="C57" s="8" t="n">
        <v>5</v>
      </c>
      <c r="D57" s="8" t="inlineStr">
        <is>
          <t>ENG.HMK.CNC</t>
        </is>
      </c>
    </row>
    <row r="58">
      <c r="A58" s="8" t="inlineStr">
        <is>
          <t>ENG.HMK.PRE</t>
        </is>
      </c>
      <c r="B58" s="8" t="inlineStr">
        <is>
          <t>Preliminary (schematic) design</t>
        </is>
      </c>
      <c r="C58" s="8" t="n">
        <v>4</v>
      </c>
      <c r="D58" s="8" t="inlineStr">
        <is>
          <t>ENG.HMK</t>
        </is>
      </c>
    </row>
    <row r="59">
      <c r="A59" s="8" t="inlineStr">
        <is>
          <t>ENG.HMK.PRE.SUB</t>
        </is>
      </c>
      <c r="B59" s="8" t="inlineStr">
        <is>
          <t>Submittal</t>
        </is>
      </c>
      <c r="C59" s="8" t="n">
        <v>5</v>
      </c>
      <c r="D59" s="8" t="inlineStr">
        <is>
          <t>ENG.HMK.PRE</t>
        </is>
      </c>
    </row>
    <row r="60">
      <c r="A60" s="8" t="inlineStr">
        <is>
          <t>ENG.HMK.PRE.APR</t>
        </is>
      </c>
      <c r="B60" s="8" t="inlineStr">
        <is>
          <t>Approval</t>
        </is>
      </c>
      <c r="C60" s="8" t="n">
        <v>5</v>
      </c>
      <c r="D60" s="8" t="inlineStr">
        <is>
          <t>ENG.HMK.PRE</t>
        </is>
      </c>
    </row>
    <row r="61">
      <c r="A61" s="8" t="inlineStr">
        <is>
          <t>ENG.HMK.DET</t>
        </is>
      </c>
      <c r="B61" s="8" t="inlineStr">
        <is>
          <t>Detailed design</t>
        </is>
      </c>
      <c r="C61" s="8" t="n">
        <v>4</v>
      </c>
      <c r="D61" s="8" t="inlineStr">
        <is>
          <t>ENG.HMK</t>
        </is>
      </c>
    </row>
    <row r="62">
      <c r="A62" s="8" t="inlineStr">
        <is>
          <t>ENG.HMK.DET.SUB</t>
        </is>
      </c>
      <c r="B62" s="8" t="inlineStr">
        <is>
          <t>Submittal</t>
        </is>
      </c>
      <c r="C62" s="8" t="n">
        <v>5</v>
      </c>
      <c r="D62" s="8" t="inlineStr">
        <is>
          <t>ENG.HMK.DET</t>
        </is>
      </c>
    </row>
    <row r="63">
      <c r="A63" s="8" t="inlineStr">
        <is>
          <t>ENG.HMK.DET.APR</t>
        </is>
      </c>
      <c r="B63" s="8" t="inlineStr">
        <is>
          <t>Approval</t>
        </is>
      </c>
      <c r="C63" s="8" t="n">
        <v>5</v>
      </c>
      <c r="D63" s="8" t="inlineStr">
        <is>
          <t>ENG.HMK.DET</t>
        </is>
      </c>
    </row>
    <row r="64">
      <c r="A64" s="8" t="inlineStr">
        <is>
          <t>ENG.HMK.IFC</t>
        </is>
      </c>
      <c r="B64" s="8" t="inlineStr">
        <is>
          <t>IFC and shop drawings</t>
        </is>
      </c>
      <c r="C64" s="8" t="n">
        <v>4</v>
      </c>
      <c r="D64" s="8" t="inlineStr">
        <is>
          <t>ENG.HMK</t>
        </is>
      </c>
    </row>
    <row r="65">
      <c r="A65" s="8" t="inlineStr">
        <is>
          <t>ENG.HMK.IFC.SUB</t>
        </is>
      </c>
      <c r="B65" s="8" t="inlineStr">
        <is>
          <t>Submittal</t>
        </is>
      </c>
      <c r="C65" s="8" t="n">
        <v>5</v>
      </c>
      <c r="D65" s="8" t="inlineStr">
        <is>
          <t>ENG.HMK.IFC</t>
        </is>
      </c>
    </row>
    <row r="66">
      <c r="A66" s="8" t="inlineStr">
        <is>
          <t>ENG.HMK.IFC.APR</t>
        </is>
      </c>
      <c r="B66" s="8" t="inlineStr">
        <is>
          <t>Approval</t>
        </is>
      </c>
      <c r="C66" s="8" t="n">
        <v>5</v>
      </c>
      <c r="D66" s="8" t="inlineStr">
        <is>
          <t>ENG.HMK.IFC</t>
        </is>
      </c>
    </row>
    <row r="67">
      <c r="A67" s="8" t="inlineStr">
        <is>
          <t>ENG.HMK.HCS</t>
        </is>
      </c>
      <c r="B67" s="8" t="inlineStr">
        <is>
          <t>HCIS documentation (Stage 3 and 4)</t>
        </is>
      </c>
      <c r="C67" s="8" t="n">
        <v>4</v>
      </c>
      <c r="D67" s="8" t="inlineStr">
        <is>
          <t>ENG.HMK</t>
        </is>
      </c>
    </row>
    <row r="68">
      <c r="A68" s="8" t="inlineStr">
        <is>
          <t>ENG.HMK.HCS.SUB</t>
        </is>
      </c>
      <c r="B68" s="8" t="inlineStr">
        <is>
          <t>Submittal</t>
        </is>
      </c>
      <c r="C68" s="8" t="n">
        <v>5</v>
      </c>
      <c r="D68" s="8" t="inlineStr">
        <is>
          <t>ENG.HMK.HCS</t>
        </is>
      </c>
    </row>
    <row r="69">
      <c r="A69" s="8" t="inlineStr">
        <is>
          <t>ENG.HMK.HCS.APR</t>
        </is>
      </c>
      <c r="B69" s="8" t="inlineStr">
        <is>
          <t>Approval</t>
        </is>
      </c>
      <c r="C69" s="8" t="n">
        <v>5</v>
      </c>
      <c r="D69" s="8" t="inlineStr">
        <is>
          <t>ENG.HMK.HCS</t>
        </is>
      </c>
    </row>
    <row r="70">
      <c r="A70" s="8" t="inlineStr">
        <is>
          <t>ENG.HMK.ASB</t>
        </is>
      </c>
      <c r="B70" s="8" t="inlineStr">
        <is>
          <t>As-built and O&amp;M documentation</t>
        </is>
      </c>
      <c r="C70" s="8" t="n">
        <v>4</v>
      </c>
      <c r="D70" s="8" t="inlineStr">
        <is>
          <t>ENG.HMK</t>
        </is>
      </c>
    </row>
    <row r="71">
      <c r="A71" s="8" t="inlineStr">
        <is>
          <t>ENG.HMK.ASB.SUB</t>
        </is>
      </c>
      <c r="B71" s="8" t="inlineStr">
        <is>
          <t>Submittal</t>
        </is>
      </c>
      <c r="C71" s="8" t="n">
        <v>5</v>
      </c>
      <c r="D71" s="8" t="inlineStr">
        <is>
          <t>ENG.HMK.ASB</t>
        </is>
      </c>
    </row>
    <row r="72">
      <c r="A72" s="8" t="inlineStr">
        <is>
          <t>ENG.HMK.ASB.APR</t>
        </is>
      </c>
      <c r="B72" s="8" t="inlineStr">
        <is>
          <t>Approval</t>
        </is>
      </c>
      <c r="C72" s="8" t="n">
        <v>5</v>
      </c>
      <c r="D72" s="8" t="inlineStr">
        <is>
          <t>ENG.HMK.ASB</t>
        </is>
      </c>
    </row>
    <row r="73">
      <c r="A73" s="8" t="inlineStr">
        <is>
          <t>PRO.HMK.CCT</t>
        </is>
      </c>
      <c r="B73" s="8" t="inlineStr">
        <is>
          <t>CCTV system</t>
        </is>
      </c>
      <c r="C73" s="8" t="n">
        <v>4</v>
      </c>
      <c r="D73" s="8" t="inlineStr">
        <is>
          <t>PRO.HMK</t>
        </is>
      </c>
    </row>
    <row r="74">
      <c r="A74" s="8" t="inlineStr">
        <is>
          <t>PRO.HMK.VMS</t>
        </is>
      </c>
      <c r="B74" s="8" t="inlineStr">
        <is>
          <t>Video management and video wall</t>
        </is>
      </c>
      <c r="C74" s="8" t="n">
        <v>4</v>
      </c>
      <c r="D74" s="8" t="inlineStr">
        <is>
          <t>PRO.HMK</t>
        </is>
      </c>
    </row>
    <row r="75">
      <c r="A75" s="8" t="inlineStr">
        <is>
          <t>PRO.HMK.ACC</t>
        </is>
      </c>
      <c r="B75" s="8" t="inlineStr">
        <is>
          <t>Access control and intercom</t>
        </is>
      </c>
      <c r="C75" s="8" t="n">
        <v>4</v>
      </c>
      <c r="D75" s="8" t="inlineStr">
        <is>
          <t>PRO.HMK</t>
        </is>
      </c>
    </row>
    <row r="76">
      <c r="A76" s="8" t="inlineStr">
        <is>
          <t>PRO.HMK.UPN</t>
        </is>
      </c>
      <c r="B76" s="8" t="inlineStr">
        <is>
          <t>UPS, network and cabinets</t>
        </is>
      </c>
      <c r="C76" s="8" t="n">
        <v>4</v>
      </c>
      <c r="D76" s="8" t="inlineStr">
        <is>
          <t>PRO.HMK</t>
        </is>
      </c>
    </row>
    <row r="77">
      <c r="A77" s="8" t="inlineStr">
        <is>
          <t>PRO.HMK.LOG</t>
        </is>
      </c>
      <c r="B77" s="8" t="inlineStr">
        <is>
          <t>FAT and logistics</t>
        </is>
      </c>
      <c r="C77" s="8" t="n">
        <v>4</v>
      </c>
      <c r="D77" s="8" t="inlineStr">
        <is>
          <t>PRO.HMK</t>
        </is>
      </c>
    </row>
    <row r="78">
      <c r="A78" s="8" t="inlineStr">
        <is>
          <t>CON.HMK.ENA</t>
        </is>
      </c>
      <c r="B78" s="8" t="inlineStr">
        <is>
          <t>Enabling works</t>
        </is>
      </c>
      <c r="C78" s="8" t="n">
        <v>4</v>
      </c>
      <c r="D78" s="8" t="inlineStr">
        <is>
          <t>CON.HMK</t>
        </is>
      </c>
    </row>
    <row r="79">
      <c r="A79" s="8" t="inlineStr">
        <is>
          <t>CON.HMK.CIV</t>
        </is>
      </c>
      <c r="B79" s="8" t="inlineStr">
        <is>
          <t>Civil works</t>
        </is>
      </c>
      <c r="C79" s="8" t="n">
        <v>4</v>
      </c>
      <c r="D79" s="8" t="inlineStr">
        <is>
          <t>CON.HMK</t>
        </is>
      </c>
    </row>
    <row r="80">
      <c r="A80" s="8" t="inlineStr">
        <is>
          <t>CON.HMK.INS</t>
        </is>
      </c>
      <c r="B80" s="8" t="inlineStr">
        <is>
          <t>Installation</t>
        </is>
      </c>
      <c r="C80" s="8" t="n">
        <v>4</v>
      </c>
      <c r="D80" s="8" t="inlineStr">
        <is>
          <t>CON.HMK</t>
        </is>
      </c>
    </row>
    <row r="81">
      <c r="A81" s="8" t="inlineStr">
        <is>
          <t>COM.HMK.TST</t>
        </is>
      </c>
      <c r="B81" s="8" t="inlineStr">
        <is>
          <t>Testing and commissioning</t>
        </is>
      </c>
      <c r="C81" s="8" t="n">
        <v>4</v>
      </c>
      <c r="D81" s="8" t="inlineStr">
        <is>
          <t>COM.HMK</t>
        </is>
      </c>
    </row>
    <row r="82">
      <c r="A82" s="8" t="inlineStr">
        <is>
          <t>COM.HMK.TRN</t>
        </is>
      </c>
      <c r="B82" s="8" t="inlineStr">
        <is>
          <t>Training</t>
        </is>
      </c>
      <c r="C82" s="8" t="n">
        <v>4</v>
      </c>
      <c r="D82" s="8" t="inlineStr">
        <is>
          <t>COM.HMK</t>
        </is>
      </c>
    </row>
    <row r="83">
      <c r="A83" s="8" t="inlineStr">
        <is>
          <t>COM.HMK.TOA</t>
        </is>
      </c>
      <c r="B83" s="8" t="inlineStr">
        <is>
          <t>Trial operation and acceptance</t>
        </is>
      </c>
      <c r="C83" s="8" t="n">
        <v>4</v>
      </c>
      <c r="D83" s="8" t="inlineStr">
        <is>
          <t>COM.HMK</t>
        </is>
      </c>
    </row>
    <row r="84">
      <c r="A84" s="8" t="inlineStr">
        <is>
          <t>ENG.ERY</t>
        </is>
      </c>
      <c r="B84" s="8" t="inlineStr">
        <is>
          <t>Riyadh (Malaz) (EWR)</t>
        </is>
      </c>
      <c r="C84" s="8" t="n">
        <v>3</v>
      </c>
      <c r="D84" s="8" t="inlineStr">
        <is>
          <t>ENG</t>
        </is>
      </c>
    </row>
    <row r="85">
      <c r="A85" s="8" t="inlineStr">
        <is>
          <t>PRO.ERY</t>
        </is>
      </c>
      <c r="B85" s="8" t="inlineStr">
        <is>
          <t>Riyadh (Malaz) (EWR)</t>
        </is>
      </c>
      <c r="C85" s="8" t="n">
        <v>3</v>
      </c>
      <c r="D85" s="8" t="inlineStr">
        <is>
          <t>PRO</t>
        </is>
      </c>
    </row>
    <row r="86">
      <c r="A86" s="8" t="inlineStr">
        <is>
          <t>CON.ERY</t>
        </is>
      </c>
      <c r="B86" s="8" t="inlineStr">
        <is>
          <t>Riyadh (Malaz) (EWR)</t>
        </is>
      </c>
      <c r="C86" s="8" t="n">
        <v>3</v>
      </c>
      <c r="D86" s="8" t="inlineStr">
        <is>
          <t>CON</t>
        </is>
      </c>
    </row>
    <row r="87">
      <c r="A87" s="8" t="inlineStr">
        <is>
          <t>COM.ERY</t>
        </is>
      </c>
      <c r="B87" s="8" t="inlineStr">
        <is>
          <t>Riyadh (Malaz) (EWR)</t>
        </is>
      </c>
      <c r="C87" s="8" t="n">
        <v>3</v>
      </c>
      <c r="D87" s="8" t="inlineStr">
        <is>
          <t>COM</t>
        </is>
      </c>
    </row>
    <row r="88">
      <c r="A88" s="8" t="inlineStr">
        <is>
          <t>ENG.ERY.SRV</t>
        </is>
      </c>
      <c r="B88" s="8" t="inlineStr">
        <is>
          <t>Site survey and as-found verification</t>
        </is>
      </c>
      <c r="C88" s="8" t="n">
        <v>4</v>
      </c>
      <c r="D88" s="8" t="inlineStr">
        <is>
          <t>ENG.ERY</t>
        </is>
      </c>
    </row>
    <row r="89">
      <c r="A89" s="8" t="inlineStr">
        <is>
          <t>ENG.ERY.SRV.SUB</t>
        </is>
      </c>
      <c r="B89" s="8" t="inlineStr">
        <is>
          <t>Submittal</t>
        </is>
      </c>
      <c r="C89" s="8" t="n">
        <v>5</v>
      </c>
      <c r="D89" s="8" t="inlineStr">
        <is>
          <t>ENG.ERY.SRV</t>
        </is>
      </c>
    </row>
    <row r="90">
      <c r="A90" s="8" t="inlineStr">
        <is>
          <t>ENG.ERY.SRV.APR</t>
        </is>
      </c>
      <c r="B90" s="8" t="inlineStr">
        <is>
          <t>Approval</t>
        </is>
      </c>
      <c r="C90" s="8" t="n">
        <v>5</v>
      </c>
      <c r="D90" s="8" t="inlineStr">
        <is>
          <t>ENG.ERY.SRV</t>
        </is>
      </c>
    </row>
    <row r="91">
      <c r="A91" s="8" t="inlineStr">
        <is>
          <t>ENG.ERY.CNC</t>
        </is>
      </c>
      <c r="B91" s="8" t="inlineStr">
        <is>
          <t>Concept design</t>
        </is>
      </c>
      <c r="C91" s="8" t="n">
        <v>4</v>
      </c>
      <c r="D91" s="8" t="inlineStr">
        <is>
          <t>ENG.ERY</t>
        </is>
      </c>
    </row>
    <row r="92">
      <c r="A92" s="8" t="inlineStr">
        <is>
          <t>ENG.ERY.CNC.SUB</t>
        </is>
      </c>
      <c r="B92" s="8" t="inlineStr">
        <is>
          <t>Submittal</t>
        </is>
      </c>
      <c r="C92" s="8" t="n">
        <v>5</v>
      </c>
      <c r="D92" s="8" t="inlineStr">
        <is>
          <t>ENG.ERY.CNC</t>
        </is>
      </c>
    </row>
    <row r="93">
      <c r="A93" s="8" t="inlineStr">
        <is>
          <t>ENG.ERY.CNC.APR</t>
        </is>
      </c>
      <c r="B93" s="8" t="inlineStr">
        <is>
          <t>Approval</t>
        </is>
      </c>
      <c r="C93" s="8" t="n">
        <v>5</v>
      </c>
      <c r="D93" s="8" t="inlineStr">
        <is>
          <t>ENG.ERY.CNC</t>
        </is>
      </c>
    </row>
    <row r="94">
      <c r="A94" s="8" t="inlineStr">
        <is>
          <t>ENG.ERY.PRE</t>
        </is>
      </c>
      <c r="B94" s="8" t="inlineStr">
        <is>
          <t>Preliminary (schematic) design</t>
        </is>
      </c>
      <c r="C94" s="8" t="n">
        <v>4</v>
      </c>
      <c r="D94" s="8" t="inlineStr">
        <is>
          <t>ENG.ERY</t>
        </is>
      </c>
    </row>
    <row r="95">
      <c r="A95" s="8" t="inlineStr">
        <is>
          <t>ENG.ERY.PRE.SUB</t>
        </is>
      </c>
      <c r="B95" s="8" t="inlineStr">
        <is>
          <t>Submittal</t>
        </is>
      </c>
      <c r="C95" s="8" t="n">
        <v>5</v>
      </c>
      <c r="D95" s="8" t="inlineStr">
        <is>
          <t>ENG.ERY.PRE</t>
        </is>
      </c>
    </row>
    <row r="96">
      <c r="A96" s="8" t="inlineStr">
        <is>
          <t>ENG.ERY.PRE.APR</t>
        </is>
      </c>
      <c r="B96" s="8" t="inlineStr">
        <is>
          <t>Approval</t>
        </is>
      </c>
      <c r="C96" s="8" t="n">
        <v>5</v>
      </c>
      <c r="D96" s="8" t="inlineStr">
        <is>
          <t>ENG.ERY.PRE</t>
        </is>
      </c>
    </row>
    <row r="97">
      <c r="A97" s="8" t="inlineStr">
        <is>
          <t>ENG.ERY.DET</t>
        </is>
      </c>
      <c r="B97" s="8" t="inlineStr">
        <is>
          <t>Detailed design</t>
        </is>
      </c>
      <c r="C97" s="8" t="n">
        <v>4</v>
      </c>
      <c r="D97" s="8" t="inlineStr">
        <is>
          <t>ENG.ERY</t>
        </is>
      </c>
    </row>
    <row r="98">
      <c r="A98" s="8" t="inlineStr">
        <is>
          <t>ENG.ERY.DET.SUB</t>
        </is>
      </c>
      <c r="B98" s="8" t="inlineStr">
        <is>
          <t>Submittal</t>
        </is>
      </c>
      <c r="C98" s="8" t="n">
        <v>5</v>
      </c>
      <c r="D98" s="8" t="inlineStr">
        <is>
          <t>ENG.ERY.DET</t>
        </is>
      </c>
    </row>
    <row r="99">
      <c r="A99" s="8" t="inlineStr">
        <is>
          <t>ENG.ERY.DET.APR</t>
        </is>
      </c>
      <c r="B99" s="8" t="inlineStr">
        <is>
          <t>Approval</t>
        </is>
      </c>
      <c r="C99" s="8" t="n">
        <v>5</v>
      </c>
      <c r="D99" s="8" t="inlineStr">
        <is>
          <t>ENG.ERY.DET</t>
        </is>
      </c>
    </row>
    <row r="100">
      <c r="A100" s="8" t="inlineStr">
        <is>
          <t>ENG.ERY.IFC</t>
        </is>
      </c>
      <c r="B100" s="8" t="inlineStr">
        <is>
          <t>IFC and shop drawings</t>
        </is>
      </c>
      <c r="C100" s="8" t="n">
        <v>4</v>
      </c>
      <c r="D100" s="8" t="inlineStr">
        <is>
          <t>ENG.ERY</t>
        </is>
      </c>
    </row>
    <row r="101">
      <c r="A101" s="8" t="inlineStr">
        <is>
          <t>ENG.ERY.IFC.SUB</t>
        </is>
      </c>
      <c r="B101" s="8" t="inlineStr">
        <is>
          <t>Submittal</t>
        </is>
      </c>
      <c r="C101" s="8" t="n">
        <v>5</v>
      </c>
      <c r="D101" s="8" t="inlineStr">
        <is>
          <t>ENG.ERY.IFC</t>
        </is>
      </c>
    </row>
    <row r="102">
      <c r="A102" s="8" t="inlineStr">
        <is>
          <t>ENG.ERY.IFC.APR</t>
        </is>
      </c>
      <c r="B102" s="8" t="inlineStr">
        <is>
          <t>Approval</t>
        </is>
      </c>
      <c r="C102" s="8" t="n">
        <v>5</v>
      </c>
      <c r="D102" s="8" t="inlineStr">
        <is>
          <t>ENG.ERY.IFC</t>
        </is>
      </c>
    </row>
    <row r="103">
      <c r="A103" s="8" t="inlineStr">
        <is>
          <t>ENG.ERY.HCS</t>
        </is>
      </c>
      <c r="B103" s="8" t="inlineStr">
        <is>
          <t>HCIS documentation (Stage 3 and 4)</t>
        </is>
      </c>
      <c r="C103" s="8" t="n">
        <v>4</v>
      </c>
      <c r="D103" s="8" t="inlineStr">
        <is>
          <t>ENG.ERY</t>
        </is>
      </c>
    </row>
    <row r="104">
      <c r="A104" s="8" t="inlineStr">
        <is>
          <t>ENG.ERY.HCS.SUB</t>
        </is>
      </c>
      <c r="B104" s="8" t="inlineStr">
        <is>
          <t>Submittal</t>
        </is>
      </c>
      <c r="C104" s="8" t="n">
        <v>5</v>
      </c>
      <c r="D104" s="8" t="inlineStr">
        <is>
          <t>ENG.ERY.HCS</t>
        </is>
      </c>
    </row>
    <row r="105">
      <c r="A105" s="8" t="inlineStr">
        <is>
          <t>ENG.ERY.HCS.APR</t>
        </is>
      </c>
      <c r="B105" s="8" t="inlineStr">
        <is>
          <t>Approval</t>
        </is>
      </c>
      <c r="C105" s="8" t="n">
        <v>5</v>
      </c>
      <c r="D105" s="8" t="inlineStr">
        <is>
          <t>ENG.ERY.HCS</t>
        </is>
      </c>
    </row>
    <row r="106">
      <c r="A106" s="8" t="inlineStr">
        <is>
          <t>ENG.ERY.ASB</t>
        </is>
      </c>
      <c r="B106" s="8" t="inlineStr">
        <is>
          <t>As-built and O&amp;M documentation</t>
        </is>
      </c>
      <c r="C106" s="8" t="n">
        <v>4</v>
      </c>
      <c r="D106" s="8" t="inlineStr">
        <is>
          <t>ENG.ERY</t>
        </is>
      </c>
    </row>
    <row r="107">
      <c r="A107" s="8" t="inlineStr">
        <is>
          <t>ENG.ERY.ASB.SUB</t>
        </is>
      </c>
      <c r="B107" s="8" t="inlineStr">
        <is>
          <t>Submittal</t>
        </is>
      </c>
      <c r="C107" s="8" t="n">
        <v>5</v>
      </c>
      <c r="D107" s="8" t="inlineStr">
        <is>
          <t>ENG.ERY.ASB</t>
        </is>
      </c>
    </row>
    <row r="108">
      <c r="A108" s="8" t="inlineStr">
        <is>
          <t>ENG.ERY.ASB.APR</t>
        </is>
      </c>
      <c r="B108" s="8" t="inlineStr">
        <is>
          <t>Approval</t>
        </is>
      </c>
      <c r="C108" s="8" t="n">
        <v>5</v>
      </c>
      <c r="D108" s="8" t="inlineStr">
        <is>
          <t>ENG.ERY.ASB</t>
        </is>
      </c>
    </row>
    <row r="109">
      <c r="A109" s="8" t="inlineStr">
        <is>
          <t>PRO.ERY.CCT</t>
        </is>
      </c>
      <c r="B109" s="8" t="inlineStr">
        <is>
          <t>CCTV system</t>
        </is>
      </c>
      <c r="C109" s="8" t="n">
        <v>4</v>
      </c>
      <c r="D109" s="8" t="inlineStr">
        <is>
          <t>PRO.ERY</t>
        </is>
      </c>
    </row>
    <row r="110">
      <c r="A110" s="8" t="inlineStr">
        <is>
          <t>PRO.ERY.VMS</t>
        </is>
      </c>
      <c r="B110" s="8" t="inlineStr">
        <is>
          <t>Video management and video wall</t>
        </is>
      </c>
      <c r="C110" s="8" t="n">
        <v>4</v>
      </c>
      <c r="D110" s="8" t="inlineStr">
        <is>
          <t>PRO.ERY</t>
        </is>
      </c>
    </row>
    <row r="111">
      <c r="A111" s="8" t="inlineStr">
        <is>
          <t>PRO.ERY.ACC</t>
        </is>
      </c>
      <c r="B111" s="8" t="inlineStr">
        <is>
          <t>Access control and intercom</t>
        </is>
      </c>
      <c r="C111" s="8" t="n">
        <v>4</v>
      </c>
      <c r="D111" s="8" t="inlineStr">
        <is>
          <t>PRO.ERY</t>
        </is>
      </c>
    </row>
    <row r="112">
      <c r="A112" s="8" t="inlineStr">
        <is>
          <t>PRO.ERY.UPN</t>
        </is>
      </c>
      <c r="B112" s="8" t="inlineStr">
        <is>
          <t>UPS, network and cabinets</t>
        </is>
      </c>
      <c r="C112" s="8" t="n">
        <v>4</v>
      </c>
      <c r="D112" s="8" t="inlineStr">
        <is>
          <t>PRO.ERY</t>
        </is>
      </c>
    </row>
    <row r="113">
      <c r="A113" s="8" t="inlineStr">
        <is>
          <t>PRO.ERY.LOG</t>
        </is>
      </c>
      <c r="B113" s="8" t="inlineStr">
        <is>
          <t>FAT and logistics</t>
        </is>
      </c>
      <c r="C113" s="8" t="n">
        <v>4</v>
      </c>
      <c r="D113" s="8" t="inlineStr">
        <is>
          <t>PRO.ERY</t>
        </is>
      </c>
    </row>
    <row r="114">
      <c r="A114" s="8" t="inlineStr">
        <is>
          <t>CON.ERY.ENA</t>
        </is>
      </c>
      <c r="B114" s="8" t="inlineStr">
        <is>
          <t>Enabling works</t>
        </is>
      </c>
      <c r="C114" s="8" t="n">
        <v>4</v>
      </c>
      <c r="D114" s="8" t="inlineStr">
        <is>
          <t>CON.ERY</t>
        </is>
      </c>
    </row>
    <row r="115">
      <c r="A115" s="8" t="inlineStr">
        <is>
          <t>CON.ERY.CIV</t>
        </is>
      </c>
      <c r="B115" s="8" t="inlineStr">
        <is>
          <t>Civil works</t>
        </is>
      </c>
      <c r="C115" s="8" t="n">
        <v>4</v>
      </c>
      <c r="D115" s="8" t="inlineStr">
        <is>
          <t>CON.ERY</t>
        </is>
      </c>
    </row>
    <row r="116">
      <c r="A116" s="8" t="inlineStr">
        <is>
          <t>CON.ERY.INS</t>
        </is>
      </c>
      <c r="B116" s="8" t="inlineStr">
        <is>
          <t>Installation</t>
        </is>
      </c>
      <c r="C116" s="8" t="n">
        <v>4</v>
      </c>
      <c r="D116" s="8" t="inlineStr">
        <is>
          <t>CON.ERY</t>
        </is>
      </c>
    </row>
    <row r="117">
      <c r="A117" s="8" t="inlineStr">
        <is>
          <t>COM.ERY.TST</t>
        </is>
      </c>
      <c r="B117" s="8" t="inlineStr">
        <is>
          <t>Testing and commissioning</t>
        </is>
      </c>
      <c r="C117" s="8" t="n">
        <v>4</v>
      </c>
      <c r="D117" s="8" t="inlineStr">
        <is>
          <t>COM.ERY</t>
        </is>
      </c>
    </row>
    <row r="118">
      <c r="A118" s="8" t="inlineStr">
        <is>
          <t>COM.ERY.TRN</t>
        </is>
      </c>
      <c r="B118" s="8" t="inlineStr">
        <is>
          <t>Training</t>
        </is>
      </c>
      <c r="C118" s="8" t="n">
        <v>4</v>
      </c>
      <c r="D118" s="8" t="inlineStr">
        <is>
          <t>COM.ERY</t>
        </is>
      </c>
    </row>
    <row r="119">
      <c r="A119" s="8" t="inlineStr">
        <is>
          <t>COM.ERY.TOA</t>
        </is>
      </c>
      <c r="B119" s="8" t="inlineStr">
        <is>
          <t>Trial operation and acceptance</t>
        </is>
      </c>
      <c r="C119" s="8" t="n">
        <v>4</v>
      </c>
      <c r="D119" s="8" t="inlineStr">
        <is>
          <t>COM.ERY</t>
        </is>
      </c>
    </row>
    <row r="120">
      <c r="A120" s="8" t="inlineStr">
        <is>
          <t>ENG.HJD</t>
        </is>
      </c>
      <c r="B120" s="8" t="inlineStr">
        <is>
          <t>Jeddah (HHR)</t>
        </is>
      </c>
      <c r="C120" s="8" t="n">
        <v>3</v>
      </c>
      <c r="D120" s="8" t="inlineStr">
        <is>
          <t>ENG</t>
        </is>
      </c>
    </row>
    <row r="121">
      <c r="A121" s="8" t="inlineStr">
        <is>
          <t>PRO.HJD</t>
        </is>
      </c>
      <c r="B121" s="8" t="inlineStr">
        <is>
          <t>Jeddah (HHR)</t>
        </is>
      </c>
      <c r="C121" s="8" t="n">
        <v>3</v>
      </c>
      <c r="D121" s="8" t="inlineStr">
        <is>
          <t>PRO</t>
        </is>
      </c>
    </row>
    <row r="122">
      <c r="A122" s="8" t="inlineStr">
        <is>
          <t>CON.HJD</t>
        </is>
      </c>
      <c r="B122" s="8" t="inlineStr">
        <is>
          <t>Jeddah (HHR)</t>
        </is>
      </c>
      <c r="C122" s="8" t="n">
        <v>3</v>
      </c>
      <c r="D122" s="8" t="inlineStr">
        <is>
          <t>CON</t>
        </is>
      </c>
    </row>
    <row r="123">
      <c r="A123" s="8" t="inlineStr">
        <is>
          <t>COM.HJD</t>
        </is>
      </c>
      <c r="B123" s="8" t="inlineStr">
        <is>
          <t>Jeddah (HHR)</t>
        </is>
      </c>
      <c r="C123" s="8" t="n">
        <v>3</v>
      </c>
      <c r="D123" s="8" t="inlineStr">
        <is>
          <t>COM</t>
        </is>
      </c>
    </row>
    <row r="124">
      <c r="A124" s="8" t="inlineStr">
        <is>
          <t>ENG.HJD.SRV</t>
        </is>
      </c>
      <c r="B124" s="8" t="inlineStr">
        <is>
          <t>Site survey and as-found verification</t>
        </is>
      </c>
      <c r="C124" s="8" t="n">
        <v>4</v>
      </c>
      <c r="D124" s="8" t="inlineStr">
        <is>
          <t>ENG.HJD</t>
        </is>
      </c>
    </row>
    <row r="125">
      <c r="A125" s="8" t="inlineStr">
        <is>
          <t>ENG.HJD.SRV.SUB</t>
        </is>
      </c>
      <c r="B125" s="8" t="inlineStr">
        <is>
          <t>Submittal</t>
        </is>
      </c>
      <c r="C125" s="8" t="n">
        <v>5</v>
      </c>
      <c r="D125" s="8" t="inlineStr">
        <is>
          <t>ENG.HJD.SRV</t>
        </is>
      </c>
    </row>
    <row r="126">
      <c r="A126" s="8" t="inlineStr">
        <is>
          <t>ENG.HJD.SRV.APR</t>
        </is>
      </c>
      <c r="B126" s="8" t="inlineStr">
        <is>
          <t>Approval</t>
        </is>
      </c>
      <c r="C126" s="8" t="n">
        <v>5</v>
      </c>
      <c r="D126" s="8" t="inlineStr">
        <is>
          <t>ENG.HJD.SRV</t>
        </is>
      </c>
    </row>
    <row r="127">
      <c r="A127" s="8" t="inlineStr">
        <is>
          <t>ENG.HJD.CNC</t>
        </is>
      </c>
      <c r="B127" s="8" t="inlineStr">
        <is>
          <t>Concept design</t>
        </is>
      </c>
      <c r="C127" s="8" t="n">
        <v>4</v>
      </c>
      <c r="D127" s="8" t="inlineStr">
        <is>
          <t>ENG.HJD</t>
        </is>
      </c>
    </row>
    <row r="128">
      <c r="A128" s="8" t="inlineStr">
        <is>
          <t>ENG.HJD.CNC.SUB</t>
        </is>
      </c>
      <c r="B128" s="8" t="inlineStr">
        <is>
          <t>Submittal</t>
        </is>
      </c>
      <c r="C128" s="8" t="n">
        <v>5</v>
      </c>
      <c r="D128" s="8" t="inlineStr">
        <is>
          <t>ENG.HJD.CNC</t>
        </is>
      </c>
    </row>
    <row r="129">
      <c r="A129" s="8" t="inlineStr">
        <is>
          <t>ENG.HJD.CNC.APR</t>
        </is>
      </c>
      <c r="B129" s="8" t="inlineStr">
        <is>
          <t>Approval</t>
        </is>
      </c>
      <c r="C129" s="8" t="n">
        <v>5</v>
      </c>
      <c r="D129" s="8" t="inlineStr">
        <is>
          <t>ENG.HJD.CNC</t>
        </is>
      </c>
    </row>
    <row r="130">
      <c r="A130" s="8" t="inlineStr">
        <is>
          <t>ENG.HJD.PRE</t>
        </is>
      </c>
      <c r="B130" s="8" t="inlineStr">
        <is>
          <t>Preliminary (schematic) design</t>
        </is>
      </c>
      <c r="C130" s="8" t="n">
        <v>4</v>
      </c>
      <c r="D130" s="8" t="inlineStr">
        <is>
          <t>ENG.HJD</t>
        </is>
      </c>
    </row>
    <row r="131">
      <c r="A131" s="8" t="inlineStr">
        <is>
          <t>ENG.HJD.PRE.SUB</t>
        </is>
      </c>
      <c r="B131" s="8" t="inlineStr">
        <is>
          <t>Submittal</t>
        </is>
      </c>
      <c r="C131" s="8" t="n">
        <v>5</v>
      </c>
      <c r="D131" s="8" t="inlineStr">
        <is>
          <t>ENG.HJD.PRE</t>
        </is>
      </c>
    </row>
    <row r="132">
      <c r="A132" s="8" t="inlineStr">
        <is>
          <t>ENG.HJD.PRE.APR</t>
        </is>
      </c>
      <c r="B132" s="8" t="inlineStr">
        <is>
          <t>Approval</t>
        </is>
      </c>
      <c r="C132" s="8" t="n">
        <v>5</v>
      </c>
      <c r="D132" s="8" t="inlineStr">
        <is>
          <t>ENG.HJD.PRE</t>
        </is>
      </c>
    </row>
    <row r="133">
      <c r="A133" s="8" t="inlineStr">
        <is>
          <t>ENG.HJD.DET</t>
        </is>
      </c>
      <c r="B133" s="8" t="inlineStr">
        <is>
          <t>Detailed design</t>
        </is>
      </c>
      <c r="C133" s="8" t="n">
        <v>4</v>
      </c>
      <c r="D133" s="8" t="inlineStr">
        <is>
          <t>ENG.HJD</t>
        </is>
      </c>
    </row>
    <row r="134">
      <c r="A134" s="8" t="inlineStr">
        <is>
          <t>ENG.HJD.DET.SUB</t>
        </is>
      </c>
      <c r="B134" s="8" t="inlineStr">
        <is>
          <t>Submittal</t>
        </is>
      </c>
      <c r="C134" s="8" t="n">
        <v>5</v>
      </c>
      <c r="D134" s="8" t="inlineStr">
        <is>
          <t>ENG.HJD.DET</t>
        </is>
      </c>
    </row>
    <row r="135">
      <c r="A135" s="8" t="inlineStr">
        <is>
          <t>ENG.HJD.DET.APR</t>
        </is>
      </c>
      <c r="B135" s="8" t="inlineStr">
        <is>
          <t>Approval</t>
        </is>
      </c>
      <c r="C135" s="8" t="n">
        <v>5</v>
      </c>
      <c r="D135" s="8" t="inlineStr">
        <is>
          <t>ENG.HJD.DET</t>
        </is>
      </c>
    </row>
    <row r="136">
      <c r="A136" s="8" t="inlineStr">
        <is>
          <t>ENG.HJD.IFC</t>
        </is>
      </c>
      <c r="B136" s="8" t="inlineStr">
        <is>
          <t>IFC and shop drawings</t>
        </is>
      </c>
      <c r="C136" s="8" t="n">
        <v>4</v>
      </c>
      <c r="D136" s="8" t="inlineStr">
        <is>
          <t>ENG.HJD</t>
        </is>
      </c>
    </row>
    <row r="137">
      <c r="A137" s="8" t="inlineStr">
        <is>
          <t>ENG.HJD.IFC.SUB</t>
        </is>
      </c>
      <c r="B137" s="8" t="inlineStr">
        <is>
          <t>Submittal</t>
        </is>
      </c>
      <c r="C137" s="8" t="n">
        <v>5</v>
      </c>
      <c r="D137" s="8" t="inlineStr">
        <is>
          <t>ENG.HJD.IFC</t>
        </is>
      </c>
    </row>
    <row r="138">
      <c r="A138" s="8" t="inlineStr">
        <is>
          <t>ENG.HJD.IFC.APR</t>
        </is>
      </c>
      <c r="B138" s="8" t="inlineStr">
        <is>
          <t>Approval</t>
        </is>
      </c>
      <c r="C138" s="8" t="n">
        <v>5</v>
      </c>
      <c r="D138" s="8" t="inlineStr">
        <is>
          <t>ENG.HJD.IFC</t>
        </is>
      </c>
    </row>
    <row r="139">
      <c r="A139" s="8" t="inlineStr">
        <is>
          <t>ENG.HJD.HCS</t>
        </is>
      </c>
      <c r="B139" s="8" t="inlineStr">
        <is>
          <t>HCIS documentation (Stage 3 and 4)</t>
        </is>
      </c>
      <c r="C139" s="8" t="n">
        <v>4</v>
      </c>
      <c r="D139" s="8" t="inlineStr">
        <is>
          <t>ENG.HJD</t>
        </is>
      </c>
    </row>
    <row r="140">
      <c r="A140" s="8" t="inlineStr">
        <is>
          <t>ENG.HJD.HCS.SUB</t>
        </is>
      </c>
      <c r="B140" s="8" t="inlineStr">
        <is>
          <t>Submittal</t>
        </is>
      </c>
      <c r="C140" s="8" t="n">
        <v>5</v>
      </c>
      <c r="D140" s="8" t="inlineStr">
        <is>
          <t>ENG.HJD.HCS</t>
        </is>
      </c>
    </row>
    <row r="141">
      <c r="A141" s="8" t="inlineStr">
        <is>
          <t>ENG.HJD.HCS.APR</t>
        </is>
      </c>
      <c r="B141" s="8" t="inlineStr">
        <is>
          <t>Approval</t>
        </is>
      </c>
      <c r="C141" s="8" t="n">
        <v>5</v>
      </c>
      <c r="D141" s="8" t="inlineStr">
        <is>
          <t>ENG.HJD.HCS</t>
        </is>
      </c>
    </row>
    <row r="142">
      <c r="A142" s="8" t="inlineStr">
        <is>
          <t>ENG.HJD.ASB</t>
        </is>
      </c>
      <c r="B142" s="8" t="inlineStr">
        <is>
          <t>As-built and O&amp;M documentation</t>
        </is>
      </c>
      <c r="C142" s="8" t="n">
        <v>4</v>
      </c>
      <c r="D142" s="8" t="inlineStr">
        <is>
          <t>ENG.HJD</t>
        </is>
      </c>
    </row>
    <row r="143">
      <c r="A143" s="8" t="inlineStr">
        <is>
          <t>ENG.HJD.ASB.SUB</t>
        </is>
      </c>
      <c r="B143" s="8" t="inlineStr">
        <is>
          <t>Submittal</t>
        </is>
      </c>
      <c r="C143" s="8" t="n">
        <v>5</v>
      </c>
      <c r="D143" s="8" t="inlineStr">
        <is>
          <t>ENG.HJD.ASB</t>
        </is>
      </c>
    </row>
    <row r="144">
      <c r="A144" s="8" t="inlineStr">
        <is>
          <t>ENG.HJD.ASB.APR</t>
        </is>
      </c>
      <c r="B144" s="8" t="inlineStr">
        <is>
          <t>Approval</t>
        </is>
      </c>
      <c r="C144" s="8" t="n">
        <v>5</v>
      </c>
      <c r="D144" s="8" t="inlineStr">
        <is>
          <t>ENG.HJD.ASB</t>
        </is>
      </c>
    </row>
    <row r="145">
      <c r="A145" s="8" t="inlineStr">
        <is>
          <t>PRO.HJD.CCT</t>
        </is>
      </c>
      <c r="B145" s="8" t="inlineStr">
        <is>
          <t>CCTV system</t>
        </is>
      </c>
      <c r="C145" s="8" t="n">
        <v>4</v>
      </c>
      <c r="D145" s="8" t="inlineStr">
        <is>
          <t>PRO.HJD</t>
        </is>
      </c>
    </row>
    <row r="146">
      <c r="A146" s="8" t="inlineStr">
        <is>
          <t>PRO.HJD.VMS</t>
        </is>
      </c>
      <c r="B146" s="8" t="inlineStr">
        <is>
          <t>Video management and video wall</t>
        </is>
      </c>
      <c r="C146" s="8" t="n">
        <v>4</v>
      </c>
      <c r="D146" s="8" t="inlineStr">
        <is>
          <t>PRO.HJD</t>
        </is>
      </c>
    </row>
    <row r="147">
      <c r="A147" s="8" t="inlineStr">
        <is>
          <t>PRO.HJD.ACC</t>
        </is>
      </c>
      <c r="B147" s="8" t="inlineStr">
        <is>
          <t>Access control and intercom</t>
        </is>
      </c>
      <c r="C147" s="8" t="n">
        <v>4</v>
      </c>
      <c r="D147" s="8" t="inlineStr">
        <is>
          <t>PRO.HJD</t>
        </is>
      </c>
    </row>
    <row r="148">
      <c r="A148" s="8" t="inlineStr">
        <is>
          <t>PRO.HJD.UPN</t>
        </is>
      </c>
      <c r="B148" s="8" t="inlineStr">
        <is>
          <t>UPS, network and cabinets</t>
        </is>
      </c>
      <c r="C148" s="8" t="n">
        <v>4</v>
      </c>
      <c r="D148" s="8" t="inlineStr">
        <is>
          <t>PRO.HJD</t>
        </is>
      </c>
    </row>
    <row r="149">
      <c r="A149" s="8" t="inlineStr">
        <is>
          <t>PRO.HJD.LOG</t>
        </is>
      </c>
      <c r="B149" s="8" t="inlineStr">
        <is>
          <t>FAT and logistics</t>
        </is>
      </c>
      <c r="C149" s="8" t="n">
        <v>4</v>
      </c>
      <c r="D149" s="8" t="inlineStr">
        <is>
          <t>PRO.HJD</t>
        </is>
      </c>
    </row>
    <row r="150">
      <c r="A150" s="8" t="inlineStr">
        <is>
          <t>CON.HJD.ENA</t>
        </is>
      </c>
      <c r="B150" s="8" t="inlineStr">
        <is>
          <t>Enabling works</t>
        </is>
      </c>
      <c r="C150" s="8" t="n">
        <v>4</v>
      </c>
      <c r="D150" s="8" t="inlineStr">
        <is>
          <t>CON.HJD</t>
        </is>
      </c>
    </row>
    <row r="151">
      <c r="A151" s="8" t="inlineStr">
        <is>
          <t>CON.HJD.CIV</t>
        </is>
      </c>
      <c r="B151" s="8" t="inlineStr">
        <is>
          <t>Civil works</t>
        </is>
      </c>
      <c r="C151" s="8" t="n">
        <v>4</v>
      </c>
      <c r="D151" s="8" t="inlineStr">
        <is>
          <t>CON.HJD</t>
        </is>
      </c>
    </row>
    <row r="152">
      <c r="A152" s="8" t="inlineStr">
        <is>
          <t>CON.HJD.INS</t>
        </is>
      </c>
      <c r="B152" s="8" t="inlineStr">
        <is>
          <t>Installation</t>
        </is>
      </c>
      <c r="C152" s="8" t="n">
        <v>4</v>
      </c>
      <c r="D152" s="8" t="inlineStr">
        <is>
          <t>CON.HJD</t>
        </is>
      </c>
    </row>
    <row r="153">
      <c r="A153" s="8" t="inlineStr">
        <is>
          <t>COM.HJD.TST</t>
        </is>
      </c>
      <c r="B153" s="8" t="inlineStr">
        <is>
          <t>Testing and commissioning</t>
        </is>
      </c>
      <c r="C153" s="8" t="n">
        <v>4</v>
      </c>
      <c r="D153" s="8" t="inlineStr">
        <is>
          <t>COM.HJD</t>
        </is>
      </c>
    </row>
    <row r="154">
      <c r="A154" s="8" t="inlineStr">
        <is>
          <t>COM.HJD.TRN</t>
        </is>
      </c>
      <c r="B154" s="8" t="inlineStr">
        <is>
          <t>Training</t>
        </is>
      </c>
      <c r="C154" s="8" t="n">
        <v>4</v>
      </c>
      <c r="D154" s="8" t="inlineStr">
        <is>
          <t>COM.HJD</t>
        </is>
      </c>
    </row>
    <row r="155">
      <c r="A155" s="8" t="inlineStr">
        <is>
          <t>COM.HJD.TOA</t>
        </is>
      </c>
      <c r="B155" s="8" t="inlineStr">
        <is>
          <t>Trial operation and acceptance</t>
        </is>
      </c>
      <c r="C155" s="8" t="n">
        <v>4</v>
      </c>
      <c r="D155" s="8" t="inlineStr">
        <is>
          <t>COM.HJD</t>
        </is>
      </c>
    </row>
    <row r="156">
      <c r="A156" s="8" t="inlineStr">
        <is>
          <t>ENG.EDM</t>
        </is>
      </c>
      <c r="B156" s="8" t="inlineStr">
        <is>
          <t>Dammam (EWR)</t>
        </is>
      </c>
      <c r="C156" s="8" t="n">
        <v>3</v>
      </c>
      <c r="D156" s="8" t="inlineStr">
        <is>
          <t>ENG</t>
        </is>
      </c>
    </row>
    <row r="157">
      <c r="A157" s="8" t="inlineStr">
        <is>
          <t>PRO.EDM</t>
        </is>
      </c>
      <c r="B157" s="8" t="inlineStr">
        <is>
          <t>Dammam (EWR)</t>
        </is>
      </c>
      <c r="C157" s="8" t="n">
        <v>3</v>
      </c>
      <c r="D157" s="8" t="inlineStr">
        <is>
          <t>PRO</t>
        </is>
      </c>
    </row>
    <row r="158">
      <c r="A158" s="8" t="inlineStr">
        <is>
          <t>CON.EDM</t>
        </is>
      </c>
      <c r="B158" s="8" t="inlineStr">
        <is>
          <t>Dammam (EWR)</t>
        </is>
      </c>
      <c r="C158" s="8" t="n">
        <v>3</v>
      </c>
      <c r="D158" s="8" t="inlineStr">
        <is>
          <t>CON</t>
        </is>
      </c>
    </row>
    <row r="159">
      <c r="A159" s="8" t="inlineStr">
        <is>
          <t>COM.EDM</t>
        </is>
      </c>
      <c r="B159" s="8" t="inlineStr">
        <is>
          <t>Dammam (EWR)</t>
        </is>
      </c>
      <c r="C159" s="8" t="n">
        <v>3</v>
      </c>
      <c r="D159" s="8" t="inlineStr">
        <is>
          <t>COM</t>
        </is>
      </c>
    </row>
    <row r="160">
      <c r="A160" s="8" t="inlineStr">
        <is>
          <t>ENG.EDM.SRV</t>
        </is>
      </c>
      <c r="B160" s="8" t="inlineStr">
        <is>
          <t>Site survey and as-found verification</t>
        </is>
      </c>
      <c r="C160" s="8" t="n">
        <v>4</v>
      </c>
      <c r="D160" s="8" t="inlineStr">
        <is>
          <t>ENG.EDM</t>
        </is>
      </c>
    </row>
    <row r="161">
      <c r="A161" s="8" t="inlineStr">
        <is>
          <t>ENG.EDM.SRV.SUB</t>
        </is>
      </c>
      <c r="B161" s="8" t="inlineStr">
        <is>
          <t>Submittal</t>
        </is>
      </c>
      <c r="C161" s="8" t="n">
        <v>5</v>
      </c>
      <c r="D161" s="8" t="inlineStr">
        <is>
          <t>ENG.EDM.SRV</t>
        </is>
      </c>
    </row>
    <row r="162">
      <c r="A162" s="8" t="inlineStr">
        <is>
          <t>ENG.EDM.SRV.APR</t>
        </is>
      </c>
      <c r="B162" s="8" t="inlineStr">
        <is>
          <t>Approval</t>
        </is>
      </c>
      <c r="C162" s="8" t="n">
        <v>5</v>
      </c>
      <c r="D162" s="8" t="inlineStr">
        <is>
          <t>ENG.EDM.SRV</t>
        </is>
      </c>
    </row>
    <row r="163">
      <c r="A163" s="8" t="inlineStr">
        <is>
          <t>ENG.EDM.CNC</t>
        </is>
      </c>
      <c r="B163" s="8" t="inlineStr">
        <is>
          <t>Concept design</t>
        </is>
      </c>
      <c r="C163" s="8" t="n">
        <v>4</v>
      </c>
      <c r="D163" s="8" t="inlineStr">
        <is>
          <t>ENG.EDM</t>
        </is>
      </c>
    </row>
    <row r="164">
      <c r="A164" s="8" t="inlineStr">
        <is>
          <t>ENG.EDM.CNC.SUB</t>
        </is>
      </c>
      <c r="B164" s="8" t="inlineStr">
        <is>
          <t>Submittal</t>
        </is>
      </c>
      <c r="C164" s="8" t="n">
        <v>5</v>
      </c>
      <c r="D164" s="8" t="inlineStr">
        <is>
          <t>ENG.EDM.CNC</t>
        </is>
      </c>
    </row>
    <row r="165">
      <c r="A165" s="8" t="inlineStr">
        <is>
          <t>ENG.EDM.CNC.APR</t>
        </is>
      </c>
      <c r="B165" s="8" t="inlineStr">
        <is>
          <t>Approval</t>
        </is>
      </c>
      <c r="C165" s="8" t="n">
        <v>5</v>
      </c>
      <c r="D165" s="8" t="inlineStr">
        <is>
          <t>ENG.EDM.CNC</t>
        </is>
      </c>
    </row>
    <row r="166">
      <c r="A166" s="8" t="inlineStr">
        <is>
          <t>ENG.EDM.PRE</t>
        </is>
      </c>
      <c r="B166" s="8" t="inlineStr">
        <is>
          <t>Preliminary (schematic) design</t>
        </is>
      </c>
      <c r="C166" s="8" t="n">
        <v>4</v>
      </c>
      <c r="D166" s="8" t="inlineStr">
        <is>
          <t>ENG.EDM</t>
        </is>
      </c>
    </row>
    <row r="167">
      <c r="A167" s="8" t="inlineStr">
        <is>
          <t>ENG.EDM.PRE.SUB</t>
        </is>
      </c>
      <c r="B167" s="8" t="inlineStr">
        <is>
          <t>Submittal</t>
        </is>
      </c>
      <c r="C167" s="8" t="n">
        <v>5</v>
      </c>
      <c r="D167" s="8" t="inlineStr">
        <is>
          <t>ENG.EDM.PRE</t>
        </is>
      </c>
    </row>
    <row r="168">
      <c r="A168" s="8" t="inlineStr">
        <is>
          <t>ENG.EDM.PRE.APR</t>
        </is>
      </c>
      <c r="B168" s="8" t="inlineStr">
        <is>
          <t>Approval</t>
        </is>
      </c>
      <c r="C168" s="8" t="n">
        <v>5</v>
      </c>
      <c r="D168" s="8" t="inlineStr">
        <is>
          <t>ENG.EDM.PRE</t>
        </is>
      </c>
    </row>
    <row r="169">
      <c r="A169" s="8" t="inlineStr">
        <is>
          <t>ENG.EDM.DET</t>
        </is>
      </c>
      <c r="B169" s="8" t="inlineStr">
        <is>
          <t>Detailed design</t>
        </is>
      </c>
      <c r="C169" s="8" t="n">
        <v>4</v>
      </c>
      <c r="D169" s="8" t="inlineStr">
        <is>
          <t>ENG.EDM</t>
        </is>
      </c>
    </row>
    <row r="170">
      <c r="A170" s="8" t="inlineStr">
        <is>
          <t>ENG.EDM.DET.SUB</t>
        </is>
      </c>
      <c r="B170" s="8" t="inlineStr">
        <is>
          <t>Submittal</t>
        </is>
      </c>
      <c r="C170" s="8" t="n">
        <v>5</v>
      </c>
      <c r="D170" s="8" t="inlineStr">
        <is>
          <t>ENG.EDM.DET</t>
        </is>
      </c>
    </row>
    <row r="171">
      <c r="A171" s="8" t="inlineStr">
        <is>
          <t>ENG.EDM.DET.APR</t>
        </is>
      </c>
      <c r="B171" s="8" t="inlineStr">
        <is>
          <t>Approval</t>
        </is>
      </c>
      <c r="C171" s="8" t="n">
        <v>5</v>
      </c>
      <c r="D171" s="8" t="inlineStr">
        <is>
          <t>ENG.EDM.DET</t>
        </is>
      </c>
    </row>
    <row r="172">
      <c r="A172" s="8" t="inlineStr">
        <is>
          <t>ENG.EDM.IFC</t>
        </is>
      </c>
      <c r="B172" s="8" t="inlineStr">
        <is>
          <t>IFC and shop drawings</t>
        </is>
      </c>
      <c r="C172" s="8" t="n">
        <v>4</v>
      </c>
      <c r="D172" s="8" t="inlineStr">
        <is>
          <t>ENG.EDM</t>
        </is>
      </c>
    </row>
    <row r="173">
      <c r="A173" s="8" t="inlineStr">
        <is>
          <t>ENG.EDM.IFC.SUB</t>
        </is>
      </c>
      <c r="B173" s="8" t="inlineStr">
        <is>
          <t>Submittal</t>
        </is>
      </c>
      <c r="C173" s="8" t="n">
        <v>5</v>
      </c>
      <c r="D173" s="8" t="inlineStr">
        <is>
          <t>ENG.EDM.IFC</t>
        </is>
      </c>
    </row>
    <row r="174">
      <c r="A174" s="8" t="inlineStr">
        <is>
          <t>ENG.EDM.IFC.APR</t>
        </is>
      </c>
      <c r="B174" s="8" t="inlineStr">
        <is>
          <t>Approval</t>
        </is>
      </c>
      <c r="C174" s="8" t="n">
        <v>5</v>
      </c>
      <c r="D174" s="8" t="inlineStr">
        <is>
          <t>ENG.EDM.IFC</t>
        </is>
      </c>
    </row>
    <row r="175">
      <c r="A175" s="8" t="inlineStr">
        <is>
          <t>ENG.EDM.HCS</t>
        </is>
      </c>
      <c r="B175" s="8" t="inlineStr">
        <is>
          <t>HCIS documentation (Stage 3 and 4)</t>
        </is>
      </c>
      <c r="C175" s="8" t="n">
        <v>4</v>
      </c>
      <c r="D175" s="8" t="inlineStr">
        <is>
          <t>ENG.EDM</t>
        </is>
      </c>
    </row>
    <row r="176">
      <c r="A176" s="8" t="inlineStr">
        <is>
          <t>ENG.EDM.HCS.SUB</t>
        </is>
      </c>
      <c r="B176" s="8" t="inlineStr">
        <is>
          <t>Submittal</t>
        </is>
      </c>
      <c r="C176" s="8" t="n">
        <v>5</v>
      </c>
      <c r="D176" s="8" t="inlineStr">
        <is>
          <t>ENG.EDM.HCS</t>
        </is>
      </c>
    </row>
    <row r="177">
      <c r="A177" s="8" t="inlineStr">
        <is>
          <t>ENG.EDM.HCS.APR</t>
        </is>
      </c>
      <c r="B177" s="8" t="inlineStr">
        <is>
          <t>Approval</t>
        </is>
      </c>
      <c r="C177" s="8" t="n">
        <v>5</v>
      </c>
      <c r="D177" s="8" t="inlineStr">
        <is>
          <t>ENG.EDM.HCS</t>
        </is>
      </c>
    </row>
    <row r="178">
      <c r="A178" s="8" t="inlineStr">
        <is>
          <t>ENG.EDM.ASB</t>
        </is>
      </c>
      <c r="B178" s="8" t="inlineStr">
        <is>
          <t>As-built and O&amp;M documentation</t>
        </is>
      </c>
      <c r="C178" s="8" t="n">
        <v>4</v>
      </c>
      <c r="D178" s="8" t="inlineStr">
        <is>
          <t>ENG.EDM</t>
        </is>
      </c>
    </row>
    <row r="179">
      <c r="A179" s="8" t="inlineStr">
        <is>
          <t>ENG.EDM.ASB.SUB</t>
        </is>
      </c>
      <c r="B179" s="8" t="inlineStr">
        <is>
          <t>Submittal</t>
        </is>
      </c>
      <c r="C179" s="8" t="n">
        <v>5</v>
      </c>
      <c r="D179" s="8" t="inlineStr">
        <is>
          <t>ENG.EDM.ASB</t>
        </is>
      </c>
    </row>
    <row r="180">
      <c r="A180" s="8" t="inlineStr">
        <is>
          <t>ENG.EDM.ASB.APR</t>
        </is>
      </c>
      <c r="B180" s="8" t="inlineStr">
        <is>
          <t>Approval</t>
        </is>
      </c>
      <c r="C180" s="8" t="n">
        <v>5</v>
      </c>
      <c r="D180" s="8" t="inlineStr">
        <is>
          <t>ENG.EDM.ASB</t>
        </is>
      </c>
    </row>
    <row r="181">
      <c r="A181" s="8" t="inlineStr">
        <is>
          <t>PRO.EDM.CCT</t>
        </is>
      </c>
      <c r="B181" s="8" t="inlineStr">
        <is>
          <t>CCTV system</t>
        </is>
      </c>
      <c r="C181" s="8" t="n">
        <v>4</v>
      </c>
      <c r="D181" s="8" t="inlineStr">
        <is>
          <t>PRO.EDM</t>
        </is>
      </c>
    </row>
    <row r="182">
      <c r="A182" s="8" t="inlineStr">
        <is>
          <t>PRO.EDM.VMS</t>
        </is>
      </c>
      <c r="B182" s="8" t="inlineStr">
        <is>
          <t>Video management and video wall</t>
        </is>
      </c>
      <c r="C182" s="8" t="n">
        <v>4</v>
      </c>
      <c r="D182" s="8" t="inlineStr">
        <is>
          <t>PRO.EDM</t>
        </is>
      </c>
    </row>
    <row r="183">
      <c r="A183" s="8" t="inlineStr">
        <is>
          <t>PRO.EDM.ACC</t>
        </is>
      </c>
      <c r="B183" s="8" t="inlineStr">
        <is>
          <t>Access control and intercom</t>
        </is>
      </c>
      <c r="C183" s="8" t="n">
        <v>4</v>
      </c>
      <c r="D183" s="8" t="inlineStr">
        <is>
          <t>PRO.EDM</t>
        </is>
      </c>
    </row>
    <row r="184">
      <c r="A184" s="8" t="inlineStr">
        <is>
          <t>PRO.EDM.UPN</t>
        </is>
      </c>
      <c r="B184" s="8" t="inlineStr">
        <is>
          <t>UPS, network and cabinets</t>
        </is>
      </c>
      <c r="C184" s="8" t="n">
        <v>4</v>
      </c>
      <c r="D184" s="8" t="inlineStr">
        <is>
          <t>PRO.EDM</t>
        </is>
      </c>
    </row>
    <row r="185">
      <c r="A185" s="8" t="inlineStr">
        <is>
          <t>PRO.EDM.LOG</t>
        </is>
      </c>
      <c r="B185" s="8" t="inlineStr">
        <is>
          <t>FAT and logistics</t>
        </is>
      </c>
      <c r="C185" s="8" t="n">
        <v>4</v>
      </c>
      <c r="D185" s="8" t="inlineStr">
        <is>
          <t>PRO.EDM</t>
        </is>
      </c>
    </row>
    <row r="186">
      <c r="A186" s="8" t="inlineStr">
        <is>
          <t>CON.EDM.ENA</t>
        </is>
      </c>
      <c r="B186" s="8" t="inlineStr">
        <is>
          <t>Enabling works</t>
        </is>
      </c>
      <c r="C186" s="8" t="n">
        <v>4</v>
      </c>
      <c r="D186" s="8" t="inlineStr">
        <is>
          <t>CON.EDM</t>
        </is>
      </c>
    </row>
    <row r="187">
      <c r="A187" s="8" t="inlineStr">
        <is>
          <t>CON.EDM.CIV</t>
        </is>
      </c>
      <c r="B187" s="8" t="inlineStr">
        <is>
          <t>Civil works</t>
        </is>
      </c>
      <c r="C187" s="8" t="n">
        <v>4</v>
      </c>
      <c r="D187" s="8" t="inlineStr">
        <is>
          <t>CON.EDM</t>
        </is>
      </c>
    </row>
    <row r="188">
      <c r="A188" s="8" t="inlineStr">
        <is>
          <t>CON.EDM.INS</t>
        </is>
      </c>
      <c r="B188" s="8" t="inlineStr">
        <is>
          <t>Installation</t>
        </is>
      </c>
      <c r="C188" s="8" t="n">
        <v>4</v>
      </c>
      <c r="D188" s="8" t="inlineStr">
        <is>
          <t>CON.EDM</t>
        </is>
      </c>
    </row>
    <row r="189">
      <c r="A189" s="8" t="inlineStr">
        <is>
          <t>COM.EDM.TST</t>
        </is>
      </c>
      <c r="B189" s="8" t="inlineStr">
        <is>
          <t>Testing and commissioning</t>
        </is>
      </c>
      <c r="C189" s="8" t="n">
        <v>4</v>
      </c>
      <c r="D189" s="8" t="inlineStr">
        <is>
          <t>COM.EDM</t>
        </is>
      </c>
    </row>
    <row r="190">
      <c r="A190" s="8" t="inlineStr">
        <is>
          <t>COM.EDM.TRN</t>
        </is>
      </c>
      <c r="B190" s="8" t="inlineStr">
        <is>
          <t>Training</t>
        </is>
      </c>
      <c r="C190" s="8" t="n">
        <v>4</v>
      </c>
      <c r="D190" s="8" t="inlineStr">
        <is>
          <t>COM.EDM</t>
        </is>
      </c>
    </row>
    <row r="191">
      <c r="A191" s="8" t="inlineStr">
        <is>
          <t>COM.EDM.TOA</t>
        </is>
      </c>
      <c r="B191" s="8" t="inlineStr">
        <is>
          <t>Trial operation and acceptance</t>
        </is>
      </c>
      <c r="C191" s="8" t="n">
        <v>4</v>
      </c>
      <c r="D191" s="8" t="inlineStr">
        <is>
          <t>COM.EDM</t>
        </is>
      </c>
    </row>
    <row r="192">
      <c r="A192" s="8" t="inlineStr">
        <is>
          <t>ENG.NQS</t>
        </is>
      </c>
      <c r="B192" s="8" t="inlineStr">
        <is>
          <t>Al Qassim (NSR)</t>
        </is>
      </c>
      <c r="C192" s="8" t="n">
        <v>3</v>
      </c>
      <c r="D192" s="8" t="inlineStr">
        <is>
          <t>ENG</t>
        </is>
      </c>
    </row>
    <row r="193">
      <c r="A193" s="8" t="inlineStr">
        <is>
          <t>PRO.NQS</t>
        </is>
      </c>
      <c r="B193" s="8" t="inlineStr">
        <is>
          <t>Al Qassim (NSR)</t>
        </is>
      </c>
      <c r="C193" s="8" t="n">
        <v>3</v>
      </c>
      <c r="D193" s="8" t="inlineStr">
        <is>
          <t>PRO</t>
        </is>
      </c>
    </row>
    <row r="194">
      <c r="A194" s="8" t="inlineStr">
        <is>
          <t>CON.NQS</t>
        </is>
      </c>
      <c r="B194" s="8" t="inlineStr">
        <is>
          <t>Al Qassim (NSR)</t>
        </is>
      </c>
      <c r="C194" s="8" t="n">
        <v>3</v>
      </c>
      <c r="D194" s="8" t="inlineStr">
        <is>
          <t>CON</t>
        </is>
      </c>
    </row>
    <row r="195">
      <c r="A195" s="8" t="inlineStr">
        <is>
          <t>COM.NQS</t>
        </is>
      </c>
      <c r="B195" s="8" t="inlineStr">
        <is>
          <t>Al Qassim (NSR)</t>
        </is>
      </c>
      <c r="C195" s="8" t="n">
        <v>3</v>
      </c>
      <c r="D195" s="8" t="inlineStr">
        <is>
          <t>COM</t>
        </is>
      </c>
    </row>
    <row r="196">
      <c r="A196" s="8" t="inlineStr">
        <is>
          <t>ENG.NQS.SRV</t>
        </is>
      </c>
      <c r="B196" s="8" t="inlineStr">
        <is>
          <t>Site survey and as-found verification</t>
        </is>
      </c>
      <c r="C196" s="8" t="n">
        <v>4</v>
      </c>
      <c r="D196" s="8" t="inlineStr">
        <is>
          <t>ENG.NQS</t>
        </is>
      </c>
    </row>
    <row r="197">
      <c r="A197" s="8" t="inlineStr">
        <is>
          <t>ENG.NQS.SRV.SUB</t>
        </is>
      </c>
      <c r="B197" s="8" t="inlineStr">
        <is>
          <t>Submittal</t>
        </is>
      </c>
      <c r="C197" s="8" t="n">
        <v>5</v>
      </c>
      <c r="D197" s="8" t="inlineStr">
        <is>
          <t>ENG.NQS.SRV</t>
        </is>
      </c>
    </row>
    <row r="198">
      <c r="A198" s="8" t="inlineStr">
        <is>
          <t>ENG.NQS.SRV.APR</t>
        </is>
      </c>
      <c r="B198" s="8" t="inlineStr">
        <is>
          <t>Approval</t>
        </is>
      </c>
      <c r="C198" s="8" t="n">
        <v>5</v>
      </c>
      <c r="D198" s="8" t="inlineStr">
        <is>
          <t>ENG.NQS.SRV</t>
        </is>
      </c>
    </row>
    <row r="199">
      <c r="A199" s="8" t="inlineStr">
        <is>
          <t>ENG.NQS.CNC</t>
        </is>
      </c>
      <c r="B199" s="8" t="inlineStr">
        <is>
          <t>Concept design</t>
        </is>
      </c>
      <c r="C199" s="8" t="n">
        <v>4</v>
      </c>
      <c r="D199" s="8" t="inlineStr">
        <is>
          <t>ENG.NQS</t>
        </is>
      </c>
    </row>
    <row r="200">
      <c r="A200" s="8" t="inlineStr">
        <is>
          <t>ENG.NQS.CNC.SUB</t>
        </is>
      </c>
      <c r="B200" s="8" t="inlineStr">
        <is>
          <t>Submittal</t>
        </is>
      </c>
      <c r="C200" s="8" t="n">
        <v>5</v>
      </c>
      <c r="D200" s="8" t="inlineStr">
        <is>
          <t>ENG.NQS.CNC</t>
        </is>
      </c>
    </row>
    <row r="201">
      <c r="A201" s="8" t="inlineStr">
        <is>
          <t>ENG.NQS.CNC.APR</t>
        </is>
      </c>
      <c r="B201" s="8" t="inlineStr">
        <is>
          <t>Approval</t>
        </is>
      </c>
      <c r="C201" s="8" t="n">
        <v>5</v>
      </c>
      <c r="D201" s="8" t="inlineStr">
        <is>
          <t>ENG.NQS.CNC</t>
        </is>
      </c>
    </row>
    <row r="202">
      <c r="A202" s="8" t="inlineStr">
        <is>
          <t>ENG.NQS.PRE</t>
        </is>
      </c>
      <c r="B202" s="8" t="inlineStr">
        <is>
          <t>Preliminary (schematic) design</t>
        </is>
      </c>
      <c r="C202" s="8" t="n">
        <v>4</v>
      </c>
      <c r="D202" s="8" t="inlineStr">
        <is>
          <t>ENG.NQS</t>
        </is>
      </c>
    </row>
    <row r="203">
      <c r="A203" s="8" t="inlineStr">
        <is>
          <t>ENG.NQS.PRE.SUB</t>
        </is>
      </c>
      <c r="B203" s="8" t="inlineStr">
        <is>
          <t>Submittal</t>
        </is>
      </c>
      <c r="C203" s="8" t="n">
        <v>5</v>
      </c>
      <c r="D203" s="8" t="inlineStr">
        <is>
          <t>ENG.NQS.PRE</t>
        </is>
      </c>
    </row>
    <row r="204">
      <c r="A204" s="8" t="inlineStr">
        <is>
          <t>ENG.NQS.PRE.APR</t>
        </is>
      </c>
      <c r="B204" s="8" t="inlineStr">
        <is>
          <t>Approval</t>
        </is>
      </c>
      <c r="C204" s="8" t="n">
        <v>5</v>
      </c>
      <c r="D204" s="8" t="inlineStr">
        <is>
          <t>ENG.NQS.PRE</t>
        </is>
      </c>
    </row>
    <row r="205">
      <c r="A205" s="8" t="inlineStr">
        <is>
          <t>ENG.NQS.DET</t>
        </is>
      </c>
      <c r="B205" s="8" t="inlineStr">
        <is>
          <t>Detailed design</t>
        </is>
      </c>
      <c r="C205" s="8" t="n">
        <v>4</v>
      </c>
      <c r="D205" s="8" t="inlineStr">
        <is>
          <t>ENG.NQS</t>
        </is>
      </c>
    </row>
    <row r="206">
      <c r="A206" s="8" t="inlineStr">
        <is>
          <t>ENG.NQS.DET.SUB</t>
        </is>
      </c>
      <c r="B206" s="8" t="inlineStr">
        <is>
          <t>Submittal</t>
        </is>
      </c>
      <c r="C206" s="8" t="n">
        <v>5</v>
      </c>
      <c r="D206" s="8" t="inlineStr">
        <is>
          <t>ENG.NQS.DET</t>
        </is>
      </c>
    </row>
    <row r="207">
      <c r="A207" s="8" t="inlineStr">
        <is>
          <t>ENG.NQS.DET.APR</t>
        </is>
      </c>
      <c r="B207" s="8" t="inlineStr">
        <is>
          <t>Approval</t>
        </is>
      </c>
      <c r="C207" s="8" t="n">
        <v>5</v>
      </c>
      <c r="D207" s="8" t="inlineStr">
        <is>
          <t>ENG.NQS.DET</t>
        </is>
      </c>
    </row>
    <row r="208">
      <c r="A208" s="8" t="inlineStr">
        <is>
          <t>ENG.NQS.IFC</t>
        </is>
      </c>
      <c r="B208" s="8" t="inlineStr">
        <is>
          <t>IFC and shop drawings</t>
        </is>
      </c>
      <c r="C208" s="8" t="n">
        <v>4</v>
      </c>
      <c r="D208" s="8" t="inlineStr">
        <is>
          <t>ENG.NQS</t>
        </is>
      </c>
    </row>
    <row r="209">
      <c r="A209" s="8" t="inlineStr">
        <is>
          <t>ENG.NQS.IFC.SUB</t>
        </is>
      </c>
      <c r="B209" s="8" t="inlineStr">
        <is>
          <t>Submittal</t>
        </is>
      </c>
      <c r="C209" s="8" t="n">
        <v>5</v>
      </c>
      <c r="D209" s="8" t="inlineStr">
        <is>
          <t>ENG.NQS.IFC</t>
        </is>
      </c>
    </row>
    <row r="210">
      <c r="A210" s="8" t="inlineStr">
        <is>
          <t>ENG.NQS.IFC.APR</t>
        </is>
      </c>
      <c r="B210" s="8" t="inlineStr">
        <is>
          <t>Approval</t>
        </is>
      </c>
      <c r="C210" s="8" t="n">
        <v>5</v>
      </c>
      <c r="D210" s="8" t="inlineStr">
        <is>
          <t>ENG.NQS.IFC</t>
        </is>
      </c>
    </row>
    <row r="211">
      <c r="A211" s="8" t="inlineStr">
        <is>
          <t>ENG.NQS.HCS</t>
        </is>
      </c>
      <c r="B211" s="8" t="inlineStr">
        <is>
          <t>HCIS documentation (Stage 3 and 4)</t>
        </is>
      </c>
      <c r="C211" s="8" t="n">
        <v>4</v>
      </c>
      <c r="D211" s="8" t="inlineStr">
        <is>
          <t>ENG.NQS</t>
        </is>
      </c>
    </row>
    <row r="212">
      <c r="A212" s="8" t="inlineStr">
        <is>
          <t>ENG.NQS.HCS.SUB</t>
        </is>
      </c>
      <c r="B212" s="8" t="inlineStr">
        <is>
          <t>Submittal</t>
        </is>
      </c>
      <c r="C212" s="8" t="n">
        <v>5</v>
      </c>
      <c r="D212" s="8" t="inlineStr">
        <is>
          <t>ENG.NQS.HCS</t>
        </is>
      </c>
    </row>
    <row r="213">
      <c r="A213" s="8" t="inlineStr">
        <is>
          <t>ENG.NQS.HCS.APR</t>
        </is>
      </c>
      <c r="B213" s="8" t="inlineStr">
        <is>
          <t>Approval</t>
        </is>
      </c>
      <c r="C213" s="8" t="n">
        <v>5</v>
      </c>
      <c r="D213" s="8" t="inlineStr">
        <is>
          <t>ENG.NQS.HCS</t>
        </is>
      </c>
    </row>
    <row r="214">
      <c r="A214" s="8" t="inlineStr">
        <is>
          <t>ENG.NQS.ASB</t>
        </is>
      </c>
      <c r="B214" s="8" t="inlineStr">
        <is>
          <t>As-built and O&amp;M documentation</t>
        </is>
      </c>
      <c r="C214" s="8" t="n">
        <v>4</v>
      </c>
      <c r="D214" s="8" t="inlineStr">
        <is>
          <t>ENG.NQS</t>
        </is>
      </c>
    </row>
    <row r="215">
      <c r="A215" s="8" t="inlineStr">
        <is>
          <t>ENG.NQS.ASB.SUB</t>
        </is>
      </c>
      <c r="B215" s="8" t="inlineStr">
        <is>
          <t>Submittal</t>
        </is>
      </c>
      <c r="C215" s="8" t="n">
        <v>5</v>
      </c>
      <c r="D215" s="8" t="inlineStr">
        <is>
          <t>ENG.NQS.ASB</t>
        </is>
      </c>
    </row>
    <row r="216">
      <c r="A216" s="8" t="inlineStr">
        <is>
          <t>ENG.NQS.ASB.APR</t>
        </is>
      </c>
      <c r="B216" s="8" t="inlineStr">
        <is>
          <t>Approval</t>
        </is>
      </c>
      <c r="C216" s="8" t="n">
        <v>5</v>
      </c>
      <c r="D216" s="8" t="inlineStr">
        <is>
          <t>ENG.NQS.ASB</t>
        </is>
      </c>
    </row>
    <row r="217">
      <c r="A217" s="8" t="inlineStr">
        <is>
          <t>PRO.NQS.CCT</t>
        </is>
      </c>
      <c r="B217" s="8" t="inlineStr">
        <is>
          <t>CCTV system</t>
        </is>
      </c>
      <c r="C217" s="8" t="n">
        <v>4</v>
      </c>
      <c r="D217" s="8" t="inlineStr">
        <is>
          <t>PRO.NQS</t>
        </is>
      </c>
    </row>
    <row r="218">
      <c r="A218" s="8" t="inlineStr">
        <is>
          <t>PRO.NQS.VMS</t>
        </is>
      </c>
      <c r="B218" s="8" t="inlineStr">
        <is>
          <t>Video management and video wall</t>
        </is>
      </c>
      <c r="C218" s="8" t="n">
        <v>4</v>
      </c>
      <c r="D218" s="8" t="inlineStr">
        <is>
          <t>PRO.NQS</t>
        </is>
      </c>
    </row>
    <row r="219">
      <c r="A219" s="8" t="inlineStr">
        <is>
          <t>PRO.NQS.ACC</t>
        </is>
      </c>
      <c r="B219" s="8" t="inlineStr">
        <is>
          <t>Access control and intercom</t>
        </is>
      </c>
      <c r="C219" s="8" t="n">
        <v>4</v>
      </c>
      <c r="D219" s="8" t="inlineStr">
        <is>
          <t>PRO.NQS</t>
        </is>
      </c>
    </row>
    <row r="220">
      <c r="A220" s="8" t="inlineStr">
        <is>
          <t>PRO.NQS.UPN</t>
        </is>
      </c>
      <c r="B220" s="8" t="inlineStr">
        <is>
          <t>UPS, network and cabinets</t>
        </is>
      </c>
      <c r="C220" s="8" t="n">
        <v>4</v>
      </c>
      <c r="D220" s="8" t="inlineStr">
        <is>
          <t>PRO.NQS</t>
        </is>
      </c>
    </row>
    <row r="221">
      <c r="A221" s="8" t="inlineStr">
        <is>
          <t>PRO.NQS.LOG</t>
        </is>
      </c>
      <c r="B221" s="8" t="inlineStr">
        <is>
          <t>FAT and logistics</t>
        </is>
      </c>
      <c r="C221" s="8" t="n">
        <v>4</v>
      </c>
      <c r="D221" s="8" t="inlineStr">
        <is>
          <t>PRO.NQS</t>
        </is>
      </c>
    </row>
    <row r="222">
      <c r="A222" s="8" t="inlineStr">
        <is>
          <t>CON.NQS.ENA</t>
        </is>
      </c>
      <c r="B222" s="8" t="inlineStr">
        <is>
          <t>Enabling works</t>
        </is>
      </c>
      <c r="C222" s="8" t="n">
        <v>4</v>
      </c>
      <c r="D222" s="8" t="inlineStr">
        <is>
          <t>CON.NQS</t>
        </is>
      </c>
    </row>
    <row r="223">
      <c r="A223" s="8" t="inlineStr">
        <is>
          <t>CON.NQS.CIV</t>
        </is>
      </c>
      <c r="B223" s="8" t="inlineStr">
        <is>
          <t>Civil works</t>
        </is>
      </c>
      <c r="C223" s="8" t="n">
        <v>4</v>
      </c>
      <c r="D223" s="8" t="inlineStr">
        <is>
          <t>CON.NQS</t>
        </is>
      </c>
    </row>
    <row r="224">
      <c r="A224" s="8" t="inlineStr">
        <is>
          <t>CON.NQS.INS</t>
        </is>
      </c>
      <c r="B224" s="8" t="inlineStr">
        <is>
          <t>Installation</t>
        </is>
      </c>
      <c r="C224" s="8" t="n">
        <v>4</v>
      </c>
      <c r="D224" s="8" t="inlineStr">
        <is>
          <t>CON.NQS</t>
        </is>
      </c>
    </row>
    <row r="225">
      <c r="A225" s="8" t="inlineStr">
        <is>
          <t>COM.NQS.TST</t>
        </is>
      </c>
      <c r="B225" s="8" t="inlineStr">
        <is>
          <t>Testing and commissioning</t>
        </is>
      </c>
      <c r="C225" s="8" t="n">
        <v>4</v>
      </c>
      <c r="D225" s="8" t="inlineStr">
        <is>
          <t>COM.NQS</t>
        </is>
      </c>
    </row>
    <row r="226">
      <c r="A226" s="8" t="inlineStr">
        <is>
          <t>COM.NQS.TRN</t>
        </is>
      </c>
      <c r="B226" s="8" t="inlineStr">
        <is>
          <t>Training</t>
        </is>
      </c>
      <c r="C226" s="8" t="n">
        <v>4</v>
      </c>
      <c r="D226" s="8" t="inlineStr">
        <is>
          <t>COM.NQS</t>
        </is>
      </c>
    </row>
    <row r="227">
      <c r="A227" s="8" t="inlineStr">
        <is>
          <t>COM.NQS.TOA</t>
        </is>
      </c>
      <c r="B227" s="8" t="inlineStr">
        <is>
          <t>Trial operation and acceptance</t>
        </is>
      </c>
      <c r="C227" s="8" t="n">
        <v>4</v>
      </c>
      <c r="D227" s="8" t="inlineStr">
        <is>
          <t>COM.NQS</t>
        </is>
      </c>
    </row>
    <row r="228">
      <c r="A228" s="8" t="inlineStr">
        <is>
          <t>ENG.EHF</t>
        </is>
      </c>
      <c r="B228" s="8" t="inlineStr">
        <is>
          <t>Hufuf (EWR)</t>
        </is>
      </c>
      <c r="C228" s="8" t="n">
        <v>3</v>
      </c>
      <c r="D228" s="8" t="inlineStr">
        <is>
          <t>ENG</t>
        </is>
      </c>
    </row>
    <row r="229">
      <c r="A229" s="8" t="inlineStr">
        <is>
          <t>PRO.EHF</t>
        </is>
      </c>
      <c r="B229" s="8" t="inlineStr">
        <is>
          <t>Hufuf (EWR)</t>
        </is>
      </c>
      <c r="C229" s="8" t="n">
        <v>3</v>
      </c>
      <c r="D229" s="8" t="inlineStr">
        <is>
          <t>PRO</t>
        </is>
      </c>
    </row>
    <row r="230">
      <c r="A230" s="8" t="inlineStr">
        <is>
          <t>CON.EHF</t>
        </is>
      </c>
      <c r="B230" s="8" t="inlineStr">
        <is>
          <t>Hufuf (EWR)</t>
        </is>
      </c>
      <c r="C230" s="8" t="n">
        <v>3</v>
      </c>
      <c r="D230" s="8" t="inlineStr">
        <is>
          <t>CON</t>
        </is>
      </c>
    </row>
    <row r="231">
      <c r="A231" s="8" t="inlineStr">
        <is>
          <t>COM.EHF</t>
        </is>
      </c>
      <c r="B231" s="8" t="inlineStr">
        <is>
          <t>Hufuf (EWR)</t>
        </is>
      </c>
      <c r="C231" s="8" t="n">
        <v>3</v>
      </c>
      <c r="D231" s="8" t="inlineStr">
        <is>
          <t>COM</t>
        </is>
      </c>
    </row>
    <row r="232">
      <c r="A232" s="8" t="inlineStr">
        <is>
          <t>ENG.EHF.SRV</t>
        </is>
      </c>
      <c r="B232" s="8" t="inlineStr">
        <is>
          <t>Site survey and as-found verification</t>
        </is>
      </c>
      <c r="C232" s="8" t="n">
        <v>4</v>
      </c>
      <c r="D232" s="8" t="inlineStr">
        <is>
          <t>ENG.EHF</t>
        </is>
      </c>
    </row>
    <row r="233">
      <c r="A233" s="8" t="inlineStr">
        <is>
          <t>ENG.EHF.SRV.SUB</t>
        </is>
      </c>
      <c r="B233" s="8" t="inlineStr">
        <is>
          <t>Submittal</t>
        </is>
      </c>
      <c r="C233" s="8" t="n">
        <v>5</v>
      </c>
      <c r="D233" s="8" t="inlineStr">
        <is>
          <t>ENG.EHF.SRV</t>
        </is>
      </c>
    </row>
    <row r="234">
      <c r="A234" s="8" t="inlineStr">
        <is>
          <t>ENG.EHF.SRV.APR</t>
        </is>
      </c>
      <c r="B234" s="8" t="inlineStr">
        <is>
          <t>Approval</t>
        </is>
      </c>
      <c r="C234" s="8" t="n">
        <v>5</v>
      </c>
      <c r="D234" s="8" t="inlineStr">
        <is>
          <t>ENG.EHF.SRV</t>
        </is>
      </c>
    </row>
    <row r="235">
      <c r="A235" s="8" t="inlineStr">
        <is>
          <t>ENG.EHF.CNC</t>
        </is>
      </c>
      <c r="B235" s="8" t="inlineStr">
        <is>
          <t>Concept design</t>
        </is>
      </c>
      <c r="C235" s="8" t="n">
        <v>4</v>
      </c>
      <c r="D235" s="8" t="inlineStr">
        <is>
          <t>ENG.EHF</t>
        </is>
      </c>
    </row>
    <row r="236">
      <c r="A236" s="8" t="inlineStr">
        <is>
          <t>ENG.EHF.CNC.SUB</t>
        </is>
      </c>
      <c r="B236" s="8" t="inlineStr">
        <is>
          <t>Submittal</t>
        </is>
      </c>
      <c r="C236" s="8" t="n">
        <v>5</v>
      </c>
      <c r="D236" s="8" t="inlineStr">
        <is>
          <t>ENG.EHF.CNC</t>
        </is>
      </c>
    </row>
    <row r="237">
      <c r="A237" s="8" t="inlineStr">
        <is>
          <t>ENG.EHF.CNC.APR</t>
        </is>
      </c>
      <c r="B237" s="8" t="inlineStr">
        <is>
          <t>Approval</t>
        </is>
      </c>
      <c r="C237" s="8" t="n">
        <v>5</v>
      </c>
      <c r="D237" s="8" t="inlineStr">
        <is>
          <t>ENG.EHF.CNC</t>
        </is>
      </c>
    </row>
    <row r="238">
      <c r="A238" s="8" t="inlineStr">
        <is>
          <t>ENG.EHF.PRE</t>
        </is>
      </c>
      <c r="B238" s="8" t="inlineStr">
        <is>
          <t>Preliminary (schematic) design</t>
        </is>
      </c>
      <c r="C238" s="8" t="n">
        <v>4</v>
      </c>
      <c r="D238" s="8" t="inlineStr">
        <is>
          <t>ENG.EHF</t>
        </is>
      </c>
    </row>
    <row r="239">
      <c r="A239" s="8" t="inlineStr">
        <is>
          <t>ENG.EHF.PRE.SUB</t>
        </is>
      </c>
      <c r="B239" s="8" t="inlineStr">
        <is>
          <t>Submittal</t>
        </is>
      </c>
      <c r="C239" s="8" t="n">
        <v>5</v>
      </c>
      <c r="D239" s="8" t="inlineStr">
        <is>
          <t>ENG.EHF.PRE</t>
        </is>
      </c>
    </row>
    <row r="240">
      <c r="A240" s="8" t="inlineStr">
        <is>
          <t>ENG.EHF.PRE.APR</t>
        </is>
      </c>
      <c r="B240" s="8" t="inlineStr">
        <is>
          <t>Approval</t>
        </is>
      </c>
      <c r="C240" s="8" t="n">
        <v>5</v>
      </c>
      <c r="D240" s="8" t="inlineStr">
        <is>
          <t>ENG.EHF.PRE</t>
        </is>
      </c>
    </row>
    <row r="241">
      <c r="A241" s="8" t="inlineStr">
        <is>
          <t>ENG.EHF.DET</t>
        </is>
      </c>
      <c r="B241" s="8" t="inlineStr">
        <is>
          <t>Detailed design</t>
        </is>
      </c>
      <c r="C241" s="8" t="n">
        <v>4</v>
      </c>
      <c r="D241" s="8" t="inlineStr">
        <is>
          <t>ENG.EHF</t>
        </is>
      </c>
    </row>
    <row r="242">
      <c r="A242" s="8" t="inlineStr">
        <is>
          <t>ENG.EHF.DET.SUB</t>
        </is>
      </c>
      <c r="B242" s="8" t="inlineStr">
        <is>
          <t>Submittal</t>
        </is>
      </c>
      <c r="C242" s="8" t="n">
        <v>5</v>
      </c>
      <c r="D242" s="8" t="inlineStr">
        <is>
          <t>ENG.EHF.DET</t>
        </is>
      </c>
    </row>
    <row r="243">
      <c r="A243" s="8" t="inlineStr">
        <is>
          <t>ENG.EHF.DET.APR</t>
        </is>
      </c>
      <c r="B243" s="8" t="inlineStr">
        <is>
          <t>Approval</t>
        </is>
      </c>
      <c r="C243" s="8" t="n">
        <v>5</v>
      </c>
      <c r="D243" s="8" t="inlineStr">
        <is>
          <t>ENG.EHF.DET</t>
        </is>
      </c>
    </row>
    <row r="244">
      <c r="A244" s="8" t="inlineStr">
        <is>
          <t>ENG.EHF.IFC</t>
        </is>
      </c>
      <c r="B244" s="8" t="inlineStr">
        <is>
          <t>IFC and shop drawings</t>
        </is>
      </c>
      <c r="C244" s="8" t="n">
        <v>4</v>
      </c>
      <c r="D244" s="8" t="inlineStr">
        <is>
          <t>ENG.EHF</t>
        </is>
      </c>
    </row>
    <row r="245">
      <c r="A245" s="8" t="inlineStr">
        <is>
          <t>ENG.EHF.IFC.SUB</t>
        </is>
      </c>
      <c r="B245" s="8" t="inlineStr">
        <is>
          <t>Submittal</t>
        </is>
      </c>
      <c r="C245" s="8" t="n">
        <v>5</v>
      </c>
      <c r="D245" s="8" t="inlineStr">
        <is>
          <t>ENG.EHF.IFC</t>
        </is>
      </c>
    </row>
    <row r="246">
      <c r="A246" s="8" t="inlineStr">
        <is>
          <t>ENG.EHF.IFC.APR</t>
        </is>
      </c>
      <c r="B246" s="8" t="inlineStr">
        <is>
          <t>Approval</t>
        </is>
      </c>
      <c r="C246" s="8" t="n">
        <v>5</v>
      </c>
      <c r="D246" s="8" t="inlineStr">
        <is>
          <t>ENG.EHF.IFC</t>
        </is>
      </c>
    </row>
    <row r="247">
      <c r="A247" s="8" t="inlineStr">
        <is>
          <t>ENG.EHF.HCS</t>
        </is>
      </c>
      <c r="B247" s="8" t="inlineStr">
        <is>
          <t>HCIS documentation (Stage 3 and 4)</t>
        </is>
      </c>
      <c r="C247" s="8" t="n">
        <v>4</v>
      </c>
      <c r="D247" s="8" t="inlineStr">
        <is>
          <t>ENG.EHF</t>
        </is>
      </c>
    </row>
    <row r="248">
      <c r="A248" s="8" t="inlineStr">
        <is>
          <t>ENG.EHF.HCS.SUB</t>
        </is>
      </c>
      <c r="B248" s="8" t="inlineStr">
        <is>
          <t>Submittal</t>
        </is>
      </c>
      <c r="C248" s="8" t="n">
        <v>5</v>
      </c>
      <c r="D248" s="8" t="inlineStr">
        <is>
          <t>ENG.EHF.HCS</t>
        </is>
      </c>
    </row>
    <row r="249">
      <c r="A249" s="8" t="inlineStr">
        <is>
          <t>ENG.EHF.HCS.APR</t>
        </is>
      </c>
      <c r="B249" s="8" t="inlineStr">
        <is>
          <t>Approval</t>
        </is>
      </c>
      <c r="C249" s="8" t="n">
        <v>5</v>
      </c>
      <c r="D249" s="8" t="inlineStr">
        <is>
          <t>ENG.EHF.HCS</t>
        </is>
      </c>
    </row>
    <row r="250">
      <c r="A250" s="8" t="inlineStr">
        <is>
          <t>ENG.EHF.ASB</t>
        </is>
      </c>
      <c r="B250" s="8" t="inlineStr">
        <is>
          <t>As-built and O&amp;M documentation</t>
        </is>
      </c>
      <c r="C250" s="8" t="n">
        <v>4</v>
      </c>
      <c r="D250" s="8" t="inlineStr">
        <is>
          <t>ENG.EHF</t>
        </is>
      </c>
    </row>
    <row r="251">
      <c r="A251" s="8" t="inlineStr">
        <is>
          <t>ENG.EHF.ASB.SUB</t>
        </is>
      </c>
      <c r="B251" s="8" t="inlineStr">
        <is>
          <t>Submittal</t>
        </is>
      </c>
      <c r="C251" s="8" t="n">
        <v>5</v>
      </c>
      <c r="D251" s="8" t="inlineStr">
        <is>
          <t>ENG.EHF.ASB</t>
        </is>
      </c>
    </row>
    <row r="252">
      <c r="A252" s="8" t="inlineStr">
        <is>
          <t>ENG.EHF.ASB.APR</t>
        </is>
      </c>
      <c r="B252" s="8" t="inlineStr">
        <is>
          <t>Approval</t>
        </is>
      </c>
      <c r="C252" s="8" t="n">
        <v>5</v>
      </c>
      <c r="D252" s="8" t="inlineStr">
        <is>
          <t>ENG.EHF.ASB</t>
        </is>
      </c>
    </row>
    <row r="253">
      <c r="A253" s="8" t="inlineStr">
        <is>
          <t>PRO.EHF.CCT</t>
        </is>
      </c>
      <c r="B253" s="8" t="inlineStr">
        <is>
          <t>CCTV system</t>
        </is>
      </c>
      <c r="C253" s="8" t="n">
        <v>4</v>
      </c>
      <c r="D253" s="8" t="inlineStr">
        <is>
          <t>PRO.EHF</t>
        </is>
      </c>
    </row>
    <row r="254">
      <c r="A254" s="8" t="inlineStr">
        <is>
          <t>PRO.EHF.VMS</t>
        </is>
      </c>
      <c r="B254" s="8" t="inlineStr">
        <is>
          <t>Video management and video wall</t>
        </is>
      </c>
      <c r="C254" s="8" t="n">
        <v>4</v>
      </c>
      <c r="D254" s="8" t="inlineStr">
        <is>
          <t>PRO.EHF</t>
        </is>
      </c>
    </row>
    <row r="255">
      <c r="A255" s="8" t="inlineStr">
        <is>
          <t>PRO.EHF.ACC</t>
        </is>
      </c>
      <c r="B255" s="8" t="inlineStr">
        <is>
          <t>Access control and intercom</t>
        </is>
      </c>
      <c r="C255" s="8" t="n">
        <v>4</v>
      </c>
      <c r="D255" s="8" t="inlineStr">
        <is>
          <t>PRO.EHF</t>
        </is>
      </c>
    </row>
    <row r="256">
      <c r="A256" s="8" t="inlineStr">
        <is>
          <t>PRO.EHF.UPN</t>
        </is>
      </c>
      <c r="B256" s="8" t="inlineStr">
        <is>
          <t>UPS, network and cabinets</t>
        </is>
      </c>
      <c r="C256" s="8" t="n">
        <v>4</v>
      </c>
      <c r="D256" s="8" t="inlineStr">
        <is>
          <t>PRO.EHF</t>
        </is>
      </c>
    </row>
    <row r="257">
      <c r="A257" s="8" t="inlineStr">
        <is>
          <t>PRO.EHF.LOG</t>
        </is>
      </c>
      <c r="B257" s="8" t="inlineStr">
        <is>
          <t>FAT and logistics</t>
        </is>
      </c>
      <c r="C257" s="8" t="n">
        <v>4</v>
      </c>
      <c r="D257" s="8" t="inlineStr">
        <is>
          <t>PRO.EHF</t>
        </is>
      </c>
    </row>
    <row r="258">
      <c r="A258" s="8" t="inlineStr">
        <is>
          <t>CON.EHF.ENA</t>
        </is>
      </c>
      <c r="B258" s="8" t="inlineStr">
        <is>
          <t>Enabling works</t>
        </is>
      </c>
      <c r="C258" s="8" t="n">
        <v>4</v>
      </c>
      <c r="D258" s="8" t="inlineStr">
        <is>
          <t>CON.EHF</t>
        </is>
      </c>
    </row>
    <row r="259">
      <c r="A259" s="8" t="inlineStr">
        <is>
          <t>CON.EHF.CIV</t>
        </is>
      </c>
      <c r="B259" s="8" t="inlineStr">
        <is>
          <t>Civil works</t>
        </is>
      </c>
      <c r="C259" s="8" t="n">
        <v>4</v>
      </c>
      <c r="D259" s="8" t="inlineStr">
        <is>
          <t>CON.EHF</t>
        </is>
      </c>
    </row>
    <row r="260">
      <c r="A260" s="8" t="inlineStr">
        <is>
          <t>CON.EHF.INS</t>
        </is>
      </c>
      <c r="B260" s="8" t="inlineStr">
        <is>
          <t>Installation</t>
        </is>
      </c>
      <c r="C260" s="8" t="n">
        <v>4</v>
      </c>
      <c r="D260" s="8" t="inlineStr">
        <is>
          <t>CON.EHF</t>
        </is>
      </c>
    </row>
    <row r="261">
      <c r="A261" s="8" t="inlineStr">
        <is>
          <t>COM.EHF.TST</t>
        </is>
      </c>
      <c r="B261" s="8" t="inlineStr">
        <is>
          <t>Testing and commissioning</t>
        </is>
      </c>
      <c r="C261" s="8" t="n">
        <v>4</v>
      </c>
      <c r="D261" s="8" t="inlineStr">
        <is>
          <t>COM.EHF</t>
        </is>
      </c>
    </row>
    <row r="262">
      <c r="A262" s="8" t="inlineStr">
        <is>
          <t>COM.EHF.TRN</t>
        </is>
      </c>
      <c r="B262" s="8" t="inlineStr">
        <is>
          <t>Training</t>
        </is>
      </c>
      <c r="C262" s="8" t="n">
        <v>4</v>
      </c>
      <c r="D262" s="8" t="inlineStr">
        <is>
          <t>COM.EHF</t>
        </is>
      </c>
    </row>
    <row r="263">
      <c r="A263" s="8" t="inlineStr">
        <is>
          <t>COM.EHF.TOA</t>
        </is>
      </c>
      <c r="B263" s="8" t="inlineStr">
        <is>
          <t>Trial operation and acceptance</t>
        </is>
      </c>
      <c r="C263" s="8" t="n">
        <v>4</v>
      </c>
      <c r="D263" s="8" t="inlineStr">
        <is>
          <t>COM.EHF</t>
        </is>
      </c>
    </row>
    <row r="264">
      <c r="A264" s="8" t="inlineStr">
        <is>
          <t>ENG.NMJ</t>
        </is>
      </c>
      <c r="B264" s="8" t="inlineStr">
        <is>
          <t>Al Majma'ah (NSR)</t>
        </is>
      </c>
      <c r="C264" s="8" t="n">
        <v>3</v>
      </c>
      <c r="D264" s="8" t="inlineStr">
        <is>
          <t>ENG</t>
        </is>
      </c>
    </row>
    <row r="265">
      <c r="A265" s="8" t="inlineStr">
        <is>
          <t>PRO.NMJ</t>
        </is>
      </c>
      <c r="B265" s="8" t="inlineStr">
        <is>
          <t>Al Majma'ah (NSR)</t>
        </is>
      </c>
      <c r="C265" s="8" t="n">
        <v>3</v>
      </c>
      <c r="D265" s="8" t="inlineStr">
        <is>
          <t>PRO</t>
        </is>
      </c>
    </row>
    <row r="266">
      <c r="A266" s="8" t="inlineStr">
        <is>
          <t>CON.NMJ</t>
        </is>
      </c>
      <c r="B266" s="8" t="inlineStr">
        <is>
          <t>Al Majma'ah (NSR)</t>
        </is>
      </c>
      <c r="C266" s="8" t="n">
        <v>3</v>
      </c>
      <c r="D266" s="8" t="inlineStr">
        <is>
          <t>CON</t>
        </is>
      </c>
    </row>
    <row r="267">
      <c r="A267" s="8" t="inlineStr">
        <is>
          <t>COM.NMJ</t>
        </is>
      </c>
      <c r="B267" s="8" t="inlineStr">
        <is>
          <t>Al Majma'ah (NSR)</t>
        </is>
      </c>
      <c r="C267" s="8" t="n">
        <v>3</v>
      </c>
      <c r="D267" s="8" t="inlineStr">
        <is>
          <t>COM</t>
        </is>
      </c>
    </row>
    <row r="268">
      <c r="A268" s="8" t="inlineStr">
        <is>
          <t>ENG.NMJ.SRV</t>
        </is>
      </c>
      <c r="B268" s="8" t="inlineStr">
        <is>
          <t>Site survey and as-found verification</t>
        </is>
      </c>
      <c r="C268" s="8" t="n">
        <v>4</v>
      </c>
      <c r="D268" s="8" t="inlineStr">
        <is>
          <t>ENG.NMJ</t>
        </is>
      </c>
    </row>
    <row r="269">
      <c r="A269" s="8" t="inlineStr">
        <is>
          <t>ENG.NMJ.SRV.SUB</t>
        </is>
      </c>
      <c r="B269" s="8" t="inlineStr">
        <is>
          <t>Submittal</t>
        </is>
      </c>
      <c r="C269" s="8" t="n">
        <v>5</v>
      </c>
      <c r="D269" s="8" t="inlineStr">
        <is>
          <t>ENG.NMJ.SRV</t>
        </is>
      </c>
    </row>
    <row r="270">
      <c r="A270" s="8" t="inlineStr">
        <is>
          <t>ENG.NMJ.SRV.APR</t>
        </is>
      </c>
      <c r="B270" s="8" t="inlineStr">
        <is>
          <t>Approval</t>
        </is>
      </c>
      <c r="C270" s="8" t="n">
        <v>5</v>
      </c>
      <c r="D270" s="8" t="inlineStr">
        <is>
          <t>ENG.NMJ.SRV</t>
        </is>
      </c>
    </row>
    <row r="271">
      <c r="A271" s="8" t="inlineStr">
        <is>
          <t>ENG.NMJ.CNC</t>
        </is>
      </c>
      <c r="B271" s="8" t="inlineStr">
        <is>
          <t>Concept design</t>
        </is>
      </c>
      <c r="C271" s="8" t="n">
        <v>4</v>
      </c>
      <c r="D271" s="8" t="inlineStr">
        <is>
          <t>ENG.NMJ</t>
        </is>
      </c>
    </row>
    <row r="272">
      <c r="A272" s="8" t="inlineStr">
        <is>
          <t>ENG.NMJ.CNC.SUB</t>
        </is>
      </c>
      <c r="B272" s="8" t="inlineStr">
        <is>
          <t>Submittal</t>
        </is>
      </c>
      <c r="C272" s="8" t="n">
        <v>5</v>
      </c>
      <c r="D272" s="8" t="inlineStr">
        <is>
          <t>ENG.NMJ.CNC</t>
        </is>
      </c>
    </row>
    <row r="273">
      <c r="A273" s="8" t="inlineStr">
        <is>
          <t>ENG.NMJ.CNC.APR</t>
        </is>
      </c>
      <c r="B273" s="8" t="inlineStr">
        <is>
          <t>Approval</t>
        </is>
      </c>
      <c r="C273" s="8" t="n">
        <v>5</v>
      </c>
      <c r="D273" s="8" t="inlineStr">
        <is>
          <t>ENG.NMJ.CNC</t>
        </is>
      </c>
    </row>
    <row r="274">
      <c r="A274" s="8" t="inlineStr">
        <is>
          <t>ENG.NMJ.PRE</t>
        </is>
      </c>
      <c r="B274" s="8" t="inlineStr">
        <is>
          <t>Preliminary (schematic) design</t>
        </is>
      </c>
      <c r="C274" s="8" t="n">
        <v>4</v>
      </c>
      <c r="D274" s="8" t="inlineStr">
        <is>
          <t>ENG.NMJ</t>
        </is>
      </c>
    </row>
    <row r="275">
      <c r="A275" s="8" t="inlineStr">
        <is>
          <t>ENG.NMJ.PRE.SUB</t>
        </is>
      </c>
      <c r="B275" s="8" t="inlineStr">
        <is>
          <t>Submittal</t>
        </is>
      </c>
      <c r="C275" s="8" t="n">
        <v>5</v>
      </c>
      <c r="D275" s="8" t="inlineStr">
        <is>
          <t>ENG.NMJ.PRE</t>
        </is>
      </c>
    </row>
    <row r="276">
      <c r="A276" s="8" t="inlineStr">
        <is>
          <t>ENG.NMJ.PRE.APR</t>
        </is>
      </c>
      <c r="B276" s="8" t="inlineStr">
        <is>
          <t>Approval</t>
        </is>
      </c>
      <c r="C276" s="8" t="n">
        <v>5</v>
      </c>
      <c r="D276" s="8" t="inlineStr">
        <is>
          <t>ENG.NMJ.PRE</t>
        </is>
      </c>
    </row>
    <row r="277">
      <c r="A277" s="8" t="inlineStr">
        <is>
          <t>ENG.NMJ.DET</t>
        </is>
      </c>
      <c r="B277" s="8" t="inlineStr">
        <is>
          <t>Detailed design</t>
        </is>
      </c>
      <c r="C277" s="8" t="n">
        <v>4</v>
      </c>
      <c r="D277" s="8" t="inlineStr">
        <is>
          <t>ENG.NMJ</t>
        </is>
      </c>
    </row>
    <row r="278">
      <c r="A278" s="8" t="inlineStr">
        <is>
          <t>ENG.NMJ.DET.SUB</t>
        </is>
      </c>
      <c r="B278" s="8" t="inlineStr">
        <is>
          <t>Submittal</t>
        </is>
      </c>
      <c r="C278" s="8" t="n">
        <v>5</v>
      </c>
      <c r="D278" s="8" t="inlineStr">
        <is>
          <t>ENG.NMJ.DET</t>
        </is>
      </c>
    </row>
    <row r="279">
      <c r="A279" s="8" t="inlineStr">
        <is>
          <t>ENG.NMJ.DET.APR</t>
        </is>
      </c>
      <c r="B279" s="8" t="inlineStr">
        <is>
          <t>Approval</t>
        </is>
      </c>
      <c r="C279" s="8" t="n">
        <v>5</v>
      </c>
      <c r="D279" s="8" t="inlineStr">
        <is>
          <t>ENG.NMJ.DET</t>
        </is>
      </c>
    </row>
    <row r="280">
      <c r="A280" s="8" t="inlineStr">
        <is>
          <t>ENG.NMJ.IFC</t>
        </is>
      </c>
      <c r="B280" s="8" t="inlineStr">
        <is>
          <t>IFC and shop drawings</t>
        </is>
      </c>
      <c r="C280" s="8" t="n">
        <v>4</v>
      </c>
      <c r="D280" s="8" t="inlineStr">
        <is>
          <t>ENG.NMJ</t>
        </is>
      </c>
    </row>
    <row r="281">
      <c r="A281" s="8" t="inlineStr">
        <is>
          <t>ENG.NMJ.IFC.SUB</t>
        </is>
      </c>
      <c r="B281" s="8" t="inlineStr">
        <is>
          <t>Submittal</t>
        </is>
      </c>
      <c r="C281" s="8" t="n">
        <v>5</v>
      </c>
      <c r="D281" s="8" t="inlineStr">
        <is>
          <t>ENG.NMJ.IFC</t>
        </is>
      </c>
    </row>
    <row r="282">
      <c r="A282" s="8" t="inlineStr">
        <is>
          <t>ENG.NMJ.IFC.APR</t>
        </is>
      </c>
      <c r="B282" s="8" t="inlineStr">
        <is>
          <t>Approval</t>
        </is>
      </c>
      <c r="C282" s="8" t="n">
        <v>5</v>
      </c>
      <c r="D282" s="8" t="inlineStr">
        <is>
          <t>ENG.NMJ.IFC</t>
        </is>
      </c>
    </row>
    <row r="283">
      <c r="A283" s="8" t="inlineStr">
        <is>
          <t>ENG.NMJ.HCS</t>
        </is>
      </c>
      <c r="B283" s="8" t="inlineStr">
        <is>
          <t>HCIS documentation (Stage 3 and 4)</t>
        </is>
      </c>
      <c r="C283" s="8" t="n">
        <v>4</v>
      </c>
      <c r="D283" s="8" t="inlineStr">
        <is>
          <t>ENG.NMJ</t>
        </is>
      </c>
    </row>
    <row r="284">
      <c r="A284" s="8" t="inlineStr">
        <is>
          <t>ENG.NMJ.HCS.SUB</t>
        </is>
      </c>
      <c r="B284" s="8" t="inlineStr">
        <is>
          <t>Submittal</t>
        </is>
      </c>
      <c r="C284" s="8" t="n">
        <v>5</v>
      </c>
      <c r="D284" s="8" t="inlineStr">
        <is>
          <t>ENG.NMJ.HCS</t>
        </is>
      </c>
    </row>
    <row r="285">
      <c r="A285" s="8" t="inlineStr">
        <is>
          <t>ENG.NMJ.HCS.APR</t>
        </is>
      </c>
      <c r="B285" s="8" t="inlineStr">
        <is>
          <t>Approval</t>
        </is>
      </c>
      <c r="C285" s="8" t="n">
        <v>5</v>
      </c>
      <c r="D285" s="8" t="inlineStr">
        <is>
          <t>ENG.NMJ.HCS</t>
        </is>
      </c>
    </row>
    <row r="286">
      <c r="A286" s="8" t="inlineStr">
        <is>
          <t>ENG.NMJ.ASB</t>
        </is>
      </c>
      <c r="B286" s="8" t="inlineStr">
        <is>
          <t>As-built and O&amp;M documentation</t>
        </is>
      </c>
      <c r="C286" s="8" t="n">
        <v>4</v>
      </c>
      <c r="D286" s="8" t="inlineStr">
        <is>
          <t>ENG.NMJ</t>
        </is>
      </c>
    </row>
    <row r="287">
      <c r="A287" s="8" t="inlineStr">
        <is>
          <t>ENG.NMJ.ASB.SUB</t>
        </is>
      </c>
      <c r="B287" s="8" t="inlineStr">
        <is>
          <t>Submittal</t>
        </is>
      </c>
      <c r="C287" s="8" t="n">
        <v>5</v>
      </c>
      <c r="D287" s="8" t="inlineStr">
        <is>
          <t>ENG.NMJ.ASB</t>
        </is>
      </c>
    </row>
    <row r="288">
      <c r="A288" s="8" t="inlineStr">
        <is>
          <t>ENG.NMJ.ASB.APR</t>
        </is>
      </c>
      <c r="B288" s="8" t="inlineStr">
        <is>
          <t>Approval</t>
        </is>
      </c>
      <c r="C288" s="8" t="n">
        <v>5</v>
      </c>
      <c r="D288" s="8" t="inlineStr">
        <is>
          <t>ENG.NMJ.ASB</t>
        </is>
      </c>
    </row>
    <row r="289">
      <c r="A289" s="8" t="inlineStr">
        <is>
          <t>PRO.NMJ.CCT</t>
        </is>
      </c>
      <c r="B289" s="8" t="inlineStr">
        <is>
          <t>CCTV system</t>
        </is>
      </c>
      <c r="C289" s="8" t="n">
        <v>4</v>
      </c>
      <c r="D289" s="8" t="inlineStr">
        <is>
          <t>PRO.NMJ</t>
        </is>
      </c>
    </row>
    <row r="290">
      <c r="A290" s="8" t="inlineStr">
        <is>
          <t>PRO.NMJ.VMS</t>
        </is>
      </c>
      <c r="B290" s="8" t="inlineStr">
        <is>
          <t>Video management and video wall</t>
        </is>
      </c>
      <c r="C290" s="8" t="n">
        <v>4</v>
      </c>
      <c r="D290" s="8" t="inlineStr">
        <is>
          <t>PRO.NMJ</t>
        </is>
      </c>
    </row>
    <row r="291">
      <c r="A291" s="8" t="inlineStr">
        <is>
          <t>PRO.NMJ.ACC</t>
        </is>
      </c>
      <c r="B291" s="8" t="inlineStr">
        <is>
          <t>Access control and intercom</t>
        </is>
      </c>
      <c r="C291" s="8" t="n">
        <v>4</v>
      </c>
      <c r="D291" s="8" t="inlineStr">
        <is>
          <t>PRO.NMJ</t>
        </is>
      </c>
    </row>
    <row r="292">
      <c r="A292" s="8" t="inlineStr">
        <is>
          <t>PRO.NMJ.UPN</t>
        </is>
      </c>
      <c r="B292" s="8" t="inlineStr">
        <is>
          <t>UPS, network and cabinets</t>
        </is>
      </c>
      <c r="C292" s="8" t="n">
        <v>4</v>
      </c>
      <c r="D292" s="8" t="inlineStr">
        <is>
          <t>PRO.NMJ</t>
        </is>
      </c>
    </row>
    <row r="293">
      <c r="A293" s="8" t="inlineStr">
        <is>
          <t>PRO.NMJ.LOG</t>
        </is>
      </c>
      <c r="B293" s="8" t="inlineStr">
        <is>
          <t>FAT and logistics</t>
        </is>
      </c>
      <c r="C293" s="8" t="n">
        <v>4</v>
      </c>
      <c r="D293" s="8" t="inlineStr">
        <is>
          <t>PRO.NMJ</t>
        </is>
      </c>
    </row>
    <row r="294">
      <c r="A294" s="8" t="inlineStr">
        <is>
          <t>CON.NMJ.ENA</t>
        </is>
      </c>
      <c r="B294" s="8" t="inlineStr">
        <is>
          <t>Enabling works</t>
        </is>
      </c>
      <c r="C294" s="8" t="n">
        <v>4</v>
      </c>
      <c r="D294" s="8" t="inlineStr">
        <is>
          <t>CON.NMJ</t>
        </is>
      </c>
    </row>
    <row r="295">
      <c r="A295" s="8" t="inlineStr">
        <is>
          <t>CON.NMJ.CIV</t>
        </is>
      </c>
      <c r="B295" s="8" t="inlineStr">
        <is>
          <t>Civil works</t>
        </is>
      </c>
      <c r="C295" s="8" t="n">
        <v>4</v>
      </c>
      <c r="D295" s="8" t="inlineStr">
        <is>
          <t>CON.NMJ</t>
        </is>
      </c>
    </row>
    <row r="296">
      <c r="A296" s="8" t="inlineStr">
        <is>
          <t>CON.NMJ.INS</t>
        </is>
      </c>
      <c r="B296" s="8" t="inlineStr">
        <is>
          <t>Installation</t>
        </is>
      </c>
      <c r="C296" s="8" t="n">
        <v>4</v>
      </c>
      <c r="D296" s="8" t="inlineStr">
        <is>
          <t>CON.NMJ</t>
        </is>
      </c>
    </row>
    <row r="297">
      <c r="A297" s="8" t="inlineStr">
        <is>
          <t>COM.NMJ.TST</t>
        </is>
      </c>
      <c r="B297" s="8" t="inlineStr">
        <is>
          <t>Testing and commissioning</t>
        </is>
      </c>
      <c r="C297" s="8" t="n">
        <v>4</v>
      </c>
      <c r="D297" s="8" t="inlineStr">
        <is>
          <t>COM.NMJ</t>
        </is>
      </c>
    </row>
    <row r="298">
      <c r="A298" s="8" t="inlineStr">
        <is>
          <t>COM.NMJ.TRN</t>
        </is>
      </c>
      <c r="B298" s="8" t="inlineStr">
        <is>
          <t>Training</t>
        </is>
      </c>
      <c r="C298" s="8" t="n">
        <v>4</v>
      </c>
      <c r="D298" s="8" t="inlineStr">
        <is>
          <t>COM.NMJ</t>
        </is>
      </c>
    </row>
    <row r="299">
      <c r="A299" s="8" t="inlineStr">
        <is>
          <t>COM.NMJ.TOA</t>
        </is>
      </c>
      <c r="B299" s="8" t="inlineStr">
        <is>
          <t>Trial operation and acceptance</t>
        </is>
      </c>
      <c r="C299" s="8" t="n">
        <v>4</v>
      </c>
      <c r="D299" s="8" t="inlineStr">
        <is>
          <t>COM.NMJ</t>
        </is>
      </c>
    </row>
    <row r="300">
      <c r="A300" s="8" t="inlineStr">
        <is>
          <t>ENG.HKA</t>
        </is>
      </c>
      <c r="B300" s="8" t="inlineStr">
        <is>
          <t>KAEC (HHR)</t>
        </is>
      </c>
      <c r="C300" s="8" t="n">
        <v>3</v>
      </c>
      <c r="D300" s="8" t="inlineStr">
        <is>
          <t>ENG</t>
        </is>
      </c>
    </row>
    <row r="301">
      <c r="A301" s="8" t="inlineStr">
        <is>
          <t>PRO.HKA</t>
        </is>
      </c>
      <c r="B301" s="8" t="inlineStr">
        <is>
          <t>KAEC (HHR)</t>
        </is>
      </c>
      <c r="C301" s="8" t="n">
        <v>3</v>
      </c>
      <c r="D301" s="8" t="inlineStr">
        <is>
          <t>PRO</t>
        </is>
      </c>
    </row>
    <row r="302">
      <c r="A302" s="8" t="inlineStr">
        <is>
          <t>CON.HKA</t>
        </is>
      </c>
      <c r="B302" s="8" t="inlineStr">
        <is>
          <t>KAEC (HHR)</t>
        </is>
      </c>
      <c r="C302" s="8" t="n">
        <v>3</v>
      </c>
      <c r="D302" s="8" t="inlineStr">
        <is>
          <t>CON</t>
        </is>
      </c>
    </row>
    <row r="303">
      <c r="A303" s="8" t="inlineStr">
        <is>
          <t>COM.HKA</t>
        </is>
      </c>
      <c r="B303" s="8" t="inlineStr">
        <is>
          <t>KAEC (HHR)</t>
        </is>
      </c>
      <c r="C303" s="8" t="n">
        <v>3</v>
      </c>
      <c r="D303" s="8" t="inlineStr">
        <is>
          <t>COM</t>
        </is>
      </c>
    </row>
    <row r="304">
      <c r="A304" s="8" t="inlineStr">
        <is>
          <t>ENG.HKA.SRV</t>
        </is>
      </c>
      <c r="B304" s="8" t="inlineStr">
        <is>
          <t>Site survey and as-found verification</t>
        </is>
      </c>
      <c r="C304" s="8" t="n">
        <v>4</v>
      </c>
      <c r="D304" s="8" t="inlineStr">
        <is>
          <t>ENG.HKA</t>
        </is>
      </c>
    </row>
    <row r="305">
      <c r="A305" s="8" t="inlineStr">
        <is>
          <t>ENG.HKA.SRV.SUB</t>
        </is>
      </c>
      <c r="B305" s="8" t="inlineStr">
        <is>
          <t>Submittal</t>
        </is>
      </c>
      <c r="C305" s="8" t="n">
        <v>5</v>
      </c>
      <c r="D305" s="8" t="inlineStr">
        <is>
          <t>ENG.HKA.SRV</t>
        </is>
      </c>
    </row>
    <row r="306">
      <c r="A306" s="8" t="inlineStr">
        <is>
          <t>ENG.HKA.SRV.APR</t>
        </is>
      </c>
      <c r="B306" s="8" t="inlineStr">
        <is>
          <t>Approval</t>
        </is>
      </c>
      <c r="C306" s="8" t="n">
        <v>5</v>
      </c>
      <c r="D306" s="8" t="inlineStr">
        <is>
          <t>ENG.HKA.SRV</t>
        </is>
      </c>
    </row>
    <row r="307">
      <c r="A307" s="8" t="inlineStr">
        <is>
          <t>ENG.HKA.CNC</t>
        </is>
      </c>
      <c r="B307" s="8" t="inlineStr">
        <is>
          <t>Concept design</t>
        </is>
      </c>
      <c r="C307" s="8" t="n">
        <v>4</v>
      </c>
      <c r="D307" s="8" t="inlineStr">
        <is>
          <t>ENG.HKA</t>
        </is>
      </c>
    </row>
    <row r="308">
      <c r="A308" s="8" t="inlineStr">
        <is>
          <t>ENG.HKA.CNC.SUB</t>
        </is>
      </c>
      <c r="B308" s="8" t="inlineStr">
        <is>
          <t>Submittal</t>
        </is>
      </c>
      <c r="C308" s="8" t="n">
        <v>5</v>
      </c>
      <c r="D308" s="8" t="inlineStr">
        <is>
          <t>ENG.HKA.CNC</t>
        </is>
      </c>
    </row>
    <row r="309">
      <c r="A309" s="8" t="inlineStr">
        <is>
          <t>ENG.HKA.CNC.APR</t>
        </is>
      </c>
      <c r="B309" s="8" t="inlineStr">
        <is>
          <t>Approval</t>
        </is>
      </c>
      <c r="C309" s="8" t="n">
        <v>5</v>
      </c>
      <c r="D309" s="8" t="inlineStr">
        <is>
          <t>ENG.HKA.CNC</t>
        </is>
      </c>
    </row>
    <row r="310">
      <c r="A310" s="8" t="inlineStr">
        <is>
          <t>ENG.HKA.PRE</t>
        </is>
      </c>
      <c r="B310" s="8" t="inlineStr">
        <is>
          <t>Preliminary (schematic) design</t>
        </is>
      </c>
      <c r="C310" s="8" t="n">
        <v>4</v>
      </c>
      <c r="D310" s="8" t="inlineStr">
        <is>
          <t>ENG.HKA</t>
        </is>
      </c>
    </row>
    <row r="311">
      <c r="A311" s="8" t="inlineStr">
        <is>
          <t>ENG.HKA.PRE.SUB</t>
        </is>
      </c>
      <c r="B311" s="8" t="inlineStr">
        <is>
          <t>Submittal</t>
        </is>
      </c>
      <c r="C311" s="8" t="n">
        <v>5</v>
      </c>
      <c r="D311" s="8" t="inlineStr">
        <is>
          <t>ENG.HKA.PRE</t>
        </is>
      </c>
    </row>
    <row r="312">
      <c r="A312" s="8" t="inlineStr">
        <is>
          <t>ENG.HKA.PRE.APR</t>
        </is>
      </c>
      <c r="B312" s="8" t="inlineStr">
        <is>
          <t>Approval</t>
        </is>
      </c>
      <c r="C312" s="8" t="n">
        <v>5</v>
      </c>
      <c r="D312" s="8" t="inlineStr">
        <is>
          <t>ENG.HKA.PRE</t>
        </is>
      </c>
    </row>
    <row r="313">
      <c r="A313" s="8" t="inlineStr">
        <is>
          <t>ENG.HKA.DET</t>
        </is>
      </c>
      <c r="B313" s="8" t="inlineStr">
        <is>
          <t>Detailed design</t>
        </is>
      </c>
      <c r="C313" s="8" t="n">
        <v>4</v>
      </c>
      <c r="D313" s="8" t="inlineStr">
        <is>
          <t>ENG.HKA</t>
        </is>
      </c>
    </row>
    <row r="314">
      <c r="A314" s="8" t="inlineStr">
        <is>
          <t>ENG.HKA.DET.SUB</t>
        </is>
      </c>
      <c r="B314" s="8" t="inlineStr">
        <is>
          <t>Submittal</t>
        </is>
      </c>
      <c r="C314" s="8" t="n">
        <v>5</v>
      </c>
      <c r="D314" s="8" t="inlineStr">
        <is>
          <t>ENG.HKA.DET</t>
        </is>
      </c>
    </row>
    <row r="315">
      <c r="A315" s="8" t="inlineStr">
        <is>
          <t>ENG.HKA.DET.APR</t>
        </is>
      </c>
      <c r="B315" s="8" t="inlineStr">
        <is>
          <t>Approval</t>
        </is>
      </c>
      <c r="C315" s="8" t="n">
        <v>5</v>
      </c>
      <c r="D315" s="8" t="inlineStr">
        <is>
          <t>ENG.HKA.DET</t>
        </is>
      </c>
    </row>
    <row r="316">
      <c r="A316" s="8" t="inlineStr">
        <is>
          <t>ENG.HKA.IFC</t>
        </is>
      </c>
      <c r="B316" s="8" t="inlineStr">
        <is>
          <t>IFC and shop drawings</t>
        </is>
      </c>
      <c r="C316" s="8" t="n">
        <v>4</v>
      </c>
      <c r="D316" s="8" t="inlineStr">
        <is>
          <t>ENG.HKA</t>
        </is>
      </c>
    </row>
    <row r="317">
      <c r="A317" s="8" t="inlineStr">
        <is>
          <t>ENG.HKA.IFC.SUB</t>
        </is>
      </c>
      <c r="B317" s="8" t="inlineStr">
        <is>
          <t>Submittal</t>
        </is>
      </c>
      <c r="C317" s="8" t="n">
        <v>5</v>
      </c>
      <c r="D317" s="8" t="inlineStr">
        <is>
          <t>ENG.HKA.IFC</t>
        </is>
      </c>
    </row>
    <row r="318">
      <c r="A318" s="8" t="inlineStr">
        <is>
          <t>ENG.HKA.IFC.APR</t>
        </is>
      </c>
      <c r="B318" s="8" t="inlineStr">
        <is>
          <t>Approval</t>
        </is>
      </c>
      <c r="C318" s="8" t="n">
        <v>5</v>
      </c>
      <c r="D318" s="8" t="inlineStr">
        <is>
          <t>ENG.HKA.IFC</t>
        </is>
      </c>
    </row>
    <row r="319">
      <c r="A319" s="8" t="inlineStr">
        <is>
          <t>ENG.HKA.HCS</t>
        </is>
      </c>
      <c r="B319" s="8" t="inlineStr">
        <is>
          <t>HCIS documentation (Stage 3 and 4)</t>
        </is>
      </c>
      <c r="C319" s="8" t="n">
        <v>4</v>
      </c>
      <c r="D319" s="8" t="inlineStr">
        <is>
          <t>ENG.HKA</t>
        </is>
      </c>
    </row>
    <row r="320">
      <c r="A320" s="8" t="inlineStr">
        <is>
          <t>ENG.HKA.HCS.SUB</t>
        </is>
      </c>
      <c r="B320" s="8" t="inlineStr">
        <is>
          <t>Submittal</t>
        </is>
      </c>
      <c r="C320" s="8" t="n">
        <v>5</v>
      </c>
      <c r="D320" s="8" t="inlineStr">
        <is>
          <t>ENG.HKA.HCS</t>
        </is>
      </c>
    </row>
    <row r="321">
      <c r="A321" s="8" t="inlineStr">
        <is>
          <t>ENG.HKA.HCS.APR</t>
        </is>
      </c>
      <c r="B321" s="8" t="inlineStr">
        <is>
          <t>Approval</t>
        </is>
      </c>
      <c r="C321" s="8" t="n">
        <v>5</v>
      </c>
      <c r="D321" s="8" t="inlineStr">
        <is>
          <t>ENG.HKA.HCS</t>
        </is>
      </c>
    </row>
    <row r="322">
      <c r="A322" s="8" t="inlineStr">
        <is>
          <t>ENG.HKA.ASB</t>
        </is>
      </c>
      <c r="B322" s="8" t="inlineStr">
        <is>
          <t>As-built and O&amp;M documentation</t>
        </is>
      </c>
      <c r="C322" s="8" t="n">
        <v>4</v>
      </c>
      <c r="D322" s="8" t="inlineStr">
        <is>
          <t>ENG.HKA</t>
        </is>
      </c>
    </row>
    <row r="323">
      <c r="A323" s="8" t="inlineStr">
        <is>
          <t>ENG.HKA.ASB.SUB</t>
        </is>
      </c>
      <c r="B323" s="8" t="inlineStr">
        <is>
          <t>Submittal</t>
        </is>
      </c>
      <c r="C323" s="8" t="n">
        <v>5</v>
      </c>
      <c r="D323" s="8" t="inlineStr">
        <is>
          <t>ENG.HKA.ASB</t>
        </is>
      </c>
    </row>
    <row r="324">
      <c r="A324" s="8" t="inlineStr">
        <is>
          <t>ENG.HKA.ASB.APR</t>
        </is>
      </c>
      <c r="B324" s="8" t="inlineStr">
        <is>
          <t>Approval</t>
        </is>
      </c>
      <c r="C324" s="8" t="n">
        <v>5</v>
      </c>
      <c r="D324" s="8" t="inlineStr">
        <is>
          <t>ENG.HKA.ASB</t>
        </is>
      </c>
    </row>
    <row r="325">
      <c r="A325" s="8" t="inlineStr">
        <is>
          <t>PRO.HKA.CCT</t>
        </is>
      </c>
      <c r="B325" s="8" t="inlineStr">
        <is>
          <t>CCTV system</t>
        </is>
      </c>
      <c r="C325" s="8" t="n">
        <v>4</v>
      </c>
      <c r="D325" s="8" t="inlineStr">
        <is>
          <t>PRO.HKA</t>
        </is>
      </c>
    </row>
    <row r="326">
      <c r="A326" s="8" t="inlineStr">
        <is>
          <t>PRO.HKA.VMS</t>
        </is>
      </c>
      <c r="B326" s="8" t="inlineStr">
        <is>
          <t>Video management and video wall</t>
        </is>
      </c>
      <c r="C326" s="8" t="n">
        <v>4</v>
      </c>
      <c r="D326" s="8" t="inlineStr">
        <is>
          <t>PRO.HKA</t>
        </is>
      </c>
    </row>
    <row r="327">
      <c r="A327" s="8" t="inlineStr">
        <is>
          <t>PRO.HKA.ACC</t>
        </is>
      </c>
      <c r="B327" s="8" t="inlineStr">
        <is>
          <t>Access control and intercom</t>
        </is>
      </c>
      <c r="C327" s="8" t="n">
        <v>4</v>
      </c>
      <c r="D327" s="8" t="inlineStr">
        <is>
          <t>PRO.HKA</t>
        </is>
      </c>
    </row>
    <row r="328">
      <c r="A328" s="8" t="inlineStr">
        <is>
          <t>PRO.HKA.UPN</t>
        </is>
      </c>
      <c r="B328" s="8" t="inlineStr">
        <is>
          <t>UPS, network and cabinets</t>
        </is>
      </c>
      <c r="C328" s="8" t="n">
        <v>4</v>
      </c>
      <c r="D328" s="8" t="inlineStr">
        <is>
          <t>PRO.HKA</t>
        </is>
      </c>
    </row>
    <row r="329">
      <c r="A329" s="8" t="inlineStr">
        <is>
          <t>PRO.HKA.LOG</t>
        </is>
      </c>
      <c r="B329" s="8" t="inlineStr">
        <is>
          <t>FAT and logistics</t>
        </is>
      </c>
      <c r="C329" s="8" t="n">
        <v>4</v>
      </c>
      <c r="D329" s="8" t="inlineStr">
        <is>
          <t>PRO.HKA</t>
        </is>
      </c>
    </row>
    <row r="330">
      <c r="A330" s="8" t="inlineStr">
        <is>
          <t>CON.HKA.ENA</t>
        </is>
      </c>
      <c r="B330" s="8" t="inlineStr">
        <is>
          <t>Enabling works</t>
        </is>
      </c>
      <c r="C330" s="8" t="n">
        <v>4</v>
      </c>
      <c r="D330" s="8" t="inlineStr">
        <is>
          <t>CON.HKA</t>
        </is>
      </c>
    </row>
    <row r="331">
      <c r="A331" s="8" t="inlineStr">
        <is>
          <t>CON.HKA.CIV</t>
        </is>
      </c>
      <c r="B331" s="8" t="inlineStr">
        <is>
          <t>Civil works</t>
        </is>
      </c>
      <c r="C331" s="8" t="n">
        <v>4</v>
      </c>
      <c r="D331" s="8" t="inlineStr">
        <is>
          <t>CON.HKA</t>
        </is>
      </c>
    </row>
    <row r="332">
      <c r="A332" s="8" t="inlineStr">
        <is>
          <t>CON.HKA.INS</t>
        </is>
      </c>
      <c r="B332" s="8" t="inlineStr">
        <is>
          <t>Installation</t>
        </is>
      </c>
      <c r="C332" s="8" t="n">
        <v>4</v>
      </c>
      <c r="D332" s="8" t="inlineStr">
        <is>
          <t>CON.HKA</t>
        </is>
      </c>
    </row>
    <row r="333">
      <c r="A333" s="8" t="inlineStr">
        <is>
          <t>COM.HKA.TST</t>
        </is>
      </c>
      <c r="B333" s="8" t="inlineStr">
        <is>
          <t>Testing and commissioning</t>
        </is>
      </c>
      <c r="C333" s="8" t="n">
        <v>4</v>
      </c>
      <c r="D333" s="8" t="inlineStr">
        <is>
          <t>COM.HKA</t>
        </is>
      </c>
    </row>
    <row r="334">
      <c r="A334" s="8" t="inlineStr">
        <is>
          <t>COM.HKA.TRN</t>
        </is>
      </c>
      <c r="B334" s="8" t="inlineStr">
        <is>
          <t>Training</t>
        </is>
      </c>
      <c r="C334" s="8" t="n">
        <v>4</v>
      </c>
      <c r="D334" s="8" t="inlineStr">
        <is>
          <t>COM.HKA</t>
        </is>
      </c>
    </row>
    <row r="335">
      <c r="A335" s="8" t="inlineStr">
        <is>
          <t>COM.HKA.TOA</t>
        </is>
      </c>
      <c r="B335" s="8" t="inlineStr">
        <is>
          <t>Trial operation and acceptance</t>
        </is>
      </c>
      <c r="C335" s="8" t="n">
        <v>4</v>
      </c>
      <c r="D335" s="8" t="inlineStr">
        <is>
          <t>COM.HKA</t>
        </is>
      </c>
    </row>
    <row r="336">
      <c r="A336" s="8" t="inlineStr">
        <is>
          <t>ENG.HMD</t>
        </is>
      </c>
      <c r="B336" s="8" t="inlineStr">
        <is>
          <t>Madinah (HHR)</t>
        </is>
      </c>
      <c r="C336" s="8" t="n">
        <v>3</v>
      </c>
      <c r="D336" s="8" t="inlineStr">
        <is>
          <t>ENG</t>
        </is>
      </c>
    </row>
    <row r="337">
      <c r="A337" s="8" t="inlineStr">
        <is>
          <t>PRO.HMD</t>
        </is>
      </c>
      <c r="B337" s="8" t="inlineStr">
        <is>
          <t>Madinah (HHR)</t>
        </is>
      </c>
      <c r="C337" s="8" t="n">
        <v>3</v>
      </c>
      <c r="D337" s="8" t="inlineStr">
        <is>
          <t>PRO</t>
        </is>
      </c>
    </row>
    <row r="338">
      <c r="A338" s="8" t="inlineStr">
        <is>
          <t>CON.HMD</t>
        </is>
      </c>
      <c r="B338" s="8" t="inlineStr">
        <is>
          <t>Madinah (HHR)</t>
        </is>
      </c>
      <c r="C338" s="8" t="n">
        <v>3</v>
      </c>
      <c r="D338" s="8" t="inlineStr">
        <is>
          <t>CON</t>
        </is>
      </c>
    </row>
    <row r="339">
      <c r="A339" s="8" t="inlineStr">
        <is>
          <t>COM.HMD</t>
        </is>
      </c>
      <c r="B339" s="8" t="inlineStr">
        <is>
          <t>Madinah (HHR)</t>
        </is>
      </c>
      <c r="C339" s="8" t="n">
        <v>3</v>
      </c>
      <c r="D339" s="8" t="inlineStr">
        <is>
          <t>COM</t>
        </is>
      </c>
    </row>
    <row r="340">
      <c r="A340" s="8" t="inlineStr">
        <is>
          <t>ENG.HMD.SRV</t>
        </is>
      </c>
      <c r="B340" s="8" t="inlineStr">
        <is>
          <t>Site survey and as-found verification</t>
        </is>
      </c>
      <c r="C340" s="8" t="n">
        <v>4</v>
      </c>
      <c r="D340" s="8" t="inlineStr">
        <is>
          <t>ENG.HMD</t>
        </is>
      </c>
    </row>
    <row r="341">
      <c r="A341" s="8" t="inlineStr">
        <is>
          <t>ENG.HMD.SRV.SUB</t>
        </is>
      </c>
      <c r="B341" s="8" t="inlineStr">
        <is>
          <t>Submittal</t>
        </is>
      </c>
      <c r="C341" s="8" t="n">
        <v>5</v>
      </c>
      <c r="D341" s="8" t="inlineStr">
        <is>
          <t>ENG.HMD.SRV</t>
        </is>
      </c>
    </row>
    <row r="342">
      <c r="A342" s="8" t="inlineStr">
        <is>
          <t>ENG.HMD.SRV.APR</t>
        </is>
      </c>
      <c r="B342" s="8" t="inlineStr">
        <is>
          <t>Approval</t>
        </is>
      </c>
      <c r="C342" s="8" t="n">
        <v>5</v>
      </c>
      <c r="D342" s="8" t="inlineStr">
        <is>
          <t>ENG.HMD.SRV</t>
        </is>
      </c>
    </row>
    <row r="343">
      <c r="A343" s="8" t="inlineStr">
        <is>
          <t>ENG.HMD.CNC</t>
        </is>
      </c>
      <c r="B343" s="8" t="inlineStr">
        <is>
          <t>Concept design</t>
        </is>
      </c>
      <c r="C343" s="8" t="n">
        <v>4</v>
      </c>
      <c r="D343" s="8" t="inlineStr">
        <is>
          <t>ENG.HMD</t>
        </is>
      </c>
    </row>
    <row r="344">
      <c r="A344" s="8" t="inlineStr">
        <is>
          <t>ENG.HMD.CNC.SUB</t>
        </is>
      </c>
      <c r="B344" s="8" t="inlineStr">
        <is>
          <t>Submittal</t>
        </is>
      </c>
      <c r="C344" s="8" t="n">
        <v>5</v>
      </c>
      <c r="D344" s="8" t="inlineStr">
        <is>
          <t>ENG.HMD.CNC</t>
        </is>
      </c>
    </row>
    <row r="345">
      <c r="A345" s="8" t="inlineStr">
        <is>
          <t>ENG.HMD.CNC.APR</t>
        </is>
      </c>
      <c r="B345" s="8" t="inlineStr">
        <is>
          <t>Approval</t>
        </is>
      </c>
      <c r="C345" s="8" t="n">
        <v>5</v>
      </c>
      <c r="D345" s="8" t="inlineStr">
        <is>
          <t>ENG.HMD.CNC</t>
        </is>
      </c>
    </row>
    <row r="346">
      <c r="A346" s="8" t="inlineStr">
        <is>
          <t>ENG.HMD.PRE</t>
        </is>
      </c>
      <c r="B346" s="8" t="inlineStr">
        <is>
          <t>Preliminary (schematic) design</t>
        </is>
      </c>
      <c r="C346" s="8" t="n">
        <v>4</v>
      </c>
      <c r="D346" s="8" t="inlineStr">
        <is>
          <t>ENG.HMD</t>
        </is>
      </c>
    </row>
    <row r="347">
      <c r="A347" s="8" t="inlineStr">
        <is>
          <t>ENG.HMD.PRE.SUB</t>
        </is>
      </c>
      <c r="B347" s="8" t="inlineStr">
        <is>
          <t>Submittal</t>
        </is>
      </c>
      <c r="C347" s="8" t="n">
        <v>5</v>
      </c>
      <c r="D347" s="8" t="inlineStr">
        <is>
          <t>ENG.HMD.PRE</t>
        </is>
      </c>
    </row>
    <row r="348">
      <c r="A348" s="8" t="inlineStr">
        <is>
          <t>ENG.HMD.PRE.APR</t>
        </is>
      </c>
      <c r="B348" s="8" t="inlineStr">
        <is>
          <t>Approval</t>
        </is>
      </c>
      <c r="C348" s="8" t="n">
        <v>5</v>
      </c>
      <c r="D348" s="8" t="inlineStr">
        <is>
          <t>ENG.HMD.PRE</t>
        </is>
      </c>
    </row>
    <row r="349">
      <c r="A349" s="8" t="inlineStr">
        <is>
          <t>ENG.HMD.DET</t>
        </is>
      </c>
      <c r="B349" s="8" t="inlineStr">
        <is>
          <t>Detailed design</t>
        </is>
      </c>
      <c r="C349" s="8" t="n">
        <v>4</v>
      </c>
      <c r="D349" s="8" t="inlineStr">
        <is>
          <t>ENG.HMD</t>
        </is>
      </c>
    </row>
    <row r="350">
      <c r="A350" s="8" t="inlineStr">
        <is>
          <t>ENG.HMD.DET.SUB</t>
        </is>
      </c>
      <c r="B350" s="8" t="inlineStr">
        <is>
          <t>Submittal</t>
        </is>
      </c>
      <c r="C350" s="8" t="n">
        <v>5</v>
      </c>
      <c r="D350" s="8" t="inlineStr">
        <is>
          <t>ENG.HMD.DET</t>
        </is>
      </c>
    </row>
    <row r="351">
      <c r="A351" s="8" t="inlineStr">
        <is>
          <t>ENG.HMD.DET.APR</t>
        </is>
      </c>
      <c r="B351" s="8" t="inlineStr">
        <is>
          <t>Approval</t>
        </is>
      </c>
      <c r="C351" s="8" t="n">
        <v>5</v>
      </c>
      <c r="D351" s="8" t="inlineStr">
        <is>
          <t>ENG.HMD.DET</t>
        </is>
      </c>
    </row>
    <row r="352">
      <c r="A352" s="8" t="inlineStr">
        <is>
          <t>ENG.HMD.IFC</t>
        </is>
      </c>
      <c r="B352" s="8" t="inlineStr">
        <is>
          <t>IFC and shop drawings</t>
        </is>
      </c>
      <c r="C352" s="8" t="n">
        <v>4</v>
      </c>
      <c r="D352" s="8" t="inlineStr">
        <is>
          <t>ENG.HMD</t>
        </is>
      </c>
    </row>
    <row r="353">
      <c r="A353" s="8" t="inlineStr">
        <is>
          <t>ENG.HMD.IFC.SUB</t>
        </is>
      </c>
      <c r="B353" s="8" t="inlineStr">
        <is>
          <t>Submittal</t>
        </is>
      </c>
      <c r="C353" s="8" t="n">
        <v>5</v>
      </c>
      <c r="D353" s="8" t="inlineStr">
        <is>
          <t>ENG.HMD.IFC</t>
        </is>
      </c>
    </row>
    <row r="354">
      <c r="A354" s="8" t="inlineStr">
        <is>
          <t>ENG.HMD.IFC.APR</t>
        </is>
      </c>
      <c r="B354" s="8" t="inlineStr">
        <is>
          <t>Approval</t>
        </is>
      </c>
      <c r="C354" s="8" t="n">
        <v>5</v>
      </c>
      <c r="D354" s="8" t="inlineStr">
        <is>
          <t>ENG.HMD.IFC</t>
        </is>
      </c>
    </row>
    <row r="355">
      <c r="A355" s="8" t="inlineStr">
        <is>
          <t>ENG.HMD.HCS</t>
        </is>
      </c>
      <c r="B355" s="8" t="inlineStr">
        <is>
          <t>HCIS documentation (Stage 3 and 4)</t>
        </is>
      </c>
      <c r="C355" s="8" t="n">
        <v>4</v>
      </c>
      <c r="D355" s="8" t="inlineStr">
        <is>
          <t>ENG.HMD</t>
        </is>
      </c>
    </row>
    <row r="356">
      <c r="A356" s="8" t="inlineStr">
        <is>
          <t>ENG.HMD.HCS.SUB</t>
        </is>
      </c>
      <c r="B356" s="8" t="inlineStr">
        <is>
          <t>Submittal</t>
        </is>
      </c>
      <c r="C356" s="8" t="n">
        <v>5</v>
      </c>
      <c r="D356" s="8" t="inlineStr">
        <is>
          <t>ENG.HMD.HCS</t>
        </is>
      </c>
    </row>
    <row r="357">
      <c r="A357" s="8" t="inlineStr">
        <is>
          <t>ENG.HMD.HCS.APR</t>
        </is>
      </c>
      <c r="B357" s="8" t="inlineStr">
        <is>
          <t>Approval</t>
        </is>
      </c>
      <c r="C357" s="8" t="n">
        <v>5</v>
      </c>
      <c r="D357" s="8" t="inlineStr">
        <is>
          <t>ENG.HMD.HCS</t>
        </is>
      </c>
    </row>
    <row r="358">
      <c r="A358" s="8" t="inlineStr">
        <is>
          <t>ENG.HMD.ASB</t>
        </is>
      </c>
      <c r="B358" s="8" t="inlineStr">
        <is>
          <t>As-built and O&amp;M documentation</t>
        </is>
      </c>
      <c r="C358" s="8" t="n">
        <v>4</v>
      </c>
      <c r="D358" s="8" t="inlineStr">
        <is>
          <t>ENG.HMD</t>
        </is>
      </c>
    </row>
    <row r="359">
      <c r="A359" s="8" t="inlineStr">
        <is>
          <t>ENG.HMD.ASB.SUB</t>
        </is>
      </c>
      <c r="B359" s="8" t="inlineStr">
        <is>
          <t>Submittal</t>
        </is>
      </c>
      <c r="C359" s="8" t="n">
        <v>5</v>
      </c>
      <c r="D359" s="8" t="inlineStr">
        <is>
          <t>ENG.HMD.ASB</t>
        </is>
      </c>
    </row>
    <row r="360">
      <c r="A360" s="8" t="inlineStr">
        <is>
          <t>ENG.HMD.ASB.APR</t>
        </is>
      </c>
      <c r="B360" s="8" t="inlineStr">
        <is>
          <t>Approval</t>
        </is>
      </c>
      <c r="C360" s="8" t="n">
        <v>5</v>
      </c>
      <c r="D360" s="8" t="inlineStr">
        <is>
          <t>ENG.HMD.ASB</t>
        </is>
      </c>
    </row>
    <row r="361">
      <c r="A361" s="8" t="inlineStr">
        <is>
          <t>PRO.HMD.CCT</t>
        </is>
      </c>
      <c r="B361" s="8" t="inlineStr">
        <is>
          <t>CCTV system</t>
        </is>
      </c>
      <c r="C361" s="8" t="n">
        <v>4</v>
      </c>
      <c r="D361" s="8" t="inlineStr">
        <is>
          <t>PRO.HMD</t>
        </is>
      </c>
    </row>
    <row r="362">
      <c r="A362" s="8" t="inlineStr">
        <is>
          <t>PRO.HMD.VMS</t>
        </is>
      </c>
      <c r="B362" s="8" t="inlineStr">
        <is>
          <t>Video management and video wall</t>
        </is>
      </c>
      <c r="C362" s="8" t="n">
        <v>4</v>
      </c>
      <c r="D362" s="8" t="inlineStr">
        <is>
          <t>PRO.HMD</t>
        </is>
      </c>
    </row>
    <row r="363">
      <c r="A363" s="8" t="inlineStr">
        <is>
          <t>PRO.HMD.ACC</t>
        </is>
      </c>
      <c r="B363" s="8" t="inlineStr">
        <is>
          <t>Access control and intercom</t>
        </is>
      </c>
      <c r="C363" s="8" t="n">
        <v>4</v>
      </c>
      <c r="D363" s="8" t="inlineStr">
        <is>
          <t>PRO.HMD</t>
        </is>
      </c>
    </row>
    <row r="364">
      <c r="A364" s="8" t="inlineStr">
        <is>
          <t>PRO.HMD.UPN</t>
        </is>
      </c>
      <c r="B364" s="8" t="inlineStr">
        <is>
          <t>UPS, network and cabinets</t>
        </is>
      </c>
      <c r="C364" s="8" t="n">
        <v>4</v>
      </c>
      <c r="D364" s="8" t="inlineStr">
        <is>
          <t>PRO.HMD</t>
        </is>
      </c>
    </row>
    <row r="365">
      <c r="A365" s="8" t="inlineStr">
        <is>
          <t>PRO.HMD.LOG</t>
        </is>
      </c>
      <c r="B365" s="8" t="inlineStr">
        <is>
          <t>FAT and logistics</t>
        </is>
      </c>
      <c r="C365" s="8" t="n">
        <v>4</v>
      </c>
      <c r="D365" s="8" t="inlineStr">
        <is>
          <t>PRO.HMD</t>
        </is>
      </c>
    </row>
    <row r="366">
      <c r="A366" s="8" t="inlineStr">
        <is>
          <t>CON.HMD.ENA</t>
        </is>
      </c>
      <c r="B366" s="8" t="inlineStr">
        <is>
          <t>Enabling works</t>
        </is>
      </c>
      <c r="C366" s="8" t="n">
        <v>4</v>
      </c>
      <c r="D366" s="8" t="inlineStr">
        <is>
          <t>CON.HMD</t>
        </is>
      </c>
    </row>
    <row r="367">
      <c r="A367" s="8" t="inlineStr">
        <is>
          <t>CON.HMD.CIV</t>
        </is>
      </c>
      <c r="B367" s="8" t="inlineStr">
        <is>
          <t>Civil works</t>
        </is>
      </c>
      <c r="C367" s="8" t="n">
        <v>4</v>
      </c>
      <c r="D367" s="8" t="inlineStr">
        <is>
          <t>CON.HMD</t>
        </is>
      </c>
    </row>
    <row r="368">
      <c r="A368" s="8" t="inlineStr">
        <is>
          <t>CON.HMD.INS</t>
        </is>
      </c>
      <c r="B368" s="8" t="inlineStr">
        <is>
          <t>Installation</t>
        </is>
      </c>
      <c r="C368" s="8" t="n">
        <v>4</v>
      </c>
      <c r="D368" s="8" t="inlineStr">
        <is>
          <t>CON.HMD</t>
        </is>
      </c>
    </row>
    <row r="369">
      <c r="A369" s="8" t="inlineStr">
        <is>
          <t>COM.HMD.TST</t>
        </is>
      </c>
      <c r="B369" s="8" t="inlineStr">
        <is>
          <t>Testing and commissioning</t>
        </is>
      </c>
      <c r="C369" s="8" t="n">
        <v>4</v>
      </c>
      <c r="D369" s="8" t="inlineStr">
        <is>
          <t>COM.HMD</t>
        </is>
      </c>
    </row>
    <row r="370">
      <c r="A370" s="8" t="inlineStr">
        <is>
          <t>COM.HMD.TRN</t>
        </is>
      </c>
      <c r="B370" s="8" t="inlineStr">
        <is>
          <t>Training</t>
        </is>
      </c>
      <c r="C370" s="8" t="n">
        <v>4</v>
      </c>
      <c r="D370" s="8" t="inlineStr">
        <is>
          <t>COM.HMD</t>
        </is>
      </c>
    </row>
    <row r="371">
      <c r="A371" s="8" t="inlineStr">
        <is>
          <t>COM.HMD.TOA</t>
        </is>
      </c>
      <c r="B371" s="8" t="inlineStr">
        <is>
          <t>Trial operation and acceptance</t>
        </is>
      </c>
      <c r="C371" s="8" t="n">
        <v>4</v>
      </c>
      <c r="D371" s="8" t="inlineStr">
        <is>
          <t>COM.HMD</t>
        </is>
      </c>
    </row>
    <row r="372">
      <c r="A372" s="8" t="inlineStr">
        <is>
          <t>ENG.EAB</t>
        </is>
      </c>
      <c r="B372" s="8" t="inlineStr">
        <is>
          <t>Abqaiq (EWR)</t>
        </is>
      </c>
      <c r="C372" s="8" t="n">
        <v>3</v>
      </c>
      <c r="D372" s="8" t="inlineStr">
        <is>
          <t>ENG</t>
        </is>
      </c>
    </row>
    <row r="373">
      <c r="A373" s="8" t="inlineStr">
        <is>
          <t>PRO.EAB</t>
        </is>
      </c>
      <c r="B373" s="8" t="inlineStr">
        <is>
          <t>Abqaiq (EWR)</t>
        </is>
      </c>
      <c r="C373" s="8" t="n">
        <v>3</v>
      </c>
      <c r="D373" s="8" t="inlineStr">
        <is>
          <t>PRO</t>
        </is>
      </c>
    </row>
    <row r="374">
      <c r="A374" s="8" t="inlineStr">
        <is>
          <t>CON.EAB</t>
        </is>
      </c>
      <c r="B374" s="8" t="inlineStr">
        <is>
          <t>Abqaiq (EWR)</t>
        </is>
      </c>
      <c r="C374" s="8" t="n">
        <v>3</v>
      </c>
      <c r="D374" s="8" t="inlineStr">
        <is>
          <t>CON</t>
        </is>
      </c>
    </row>
    <row r="375">
      <c r="A375" s="8" t="inlineStr">
        <is>
          <t>COM.EAB</t>
        </is>
      </c>
      <c r="B375" s="8" t="inlineStr">
        <is>
          <t>Abqaiq (EWR)</t>
        </is>
      </c>
      <c r="C375" s="8" t="n">
        <v>3</v>
      </c>
      <c r="D375" s="8" t="inlineStr">
        <is>
          <t>COM</t>
        </is>
      </c>
    </row>
    <row r="376">
      <c r="A376" s="8" t="inlineStr">
        <is>
          <t>ENG.EAB.SRV</t>
        </is>
      </c>
      <c r="B376" s="8" t="inlineStr">
        <is>
          <t>Site survey and as-found verification</t>
        </is>
      </c>
      <c r="C376" s="8" t="n">
        <v>4</v>
      </c>
      <c r="D376" s="8" t="inlineStr">
        <is>
          <t>ENG.EAB</t>
        </is>
      </c>
    </row>
    <row r="377">
      <c r="A377" s="8" t="inlineStr">
        <is>
          <t>ENG.EAB.SRV.SUB</t>
        </is>
      </c>
      <c r="B377" s="8" t="inlineStr">
        <is>
          <t>Submittal</t>
        </is>
      </c>
      <c r="C377" s="8" t="n">
        <v>5</v>
      </c>
      <c r="D377" s="8" t="inlineStr">
        <is>
          <t>ENG.EAB.SRV</t>
        </is>
      </c>
    </row>
    <row r="378">
      <c r="A378" s="8" t="inlineStr">
        <is>
          <t>ENG.EAB.SRV.APR</t>
        </is>
      </c>
      <c r="B378" s="8" t="inlineStr">
        <is>
          <t>Approval</t>
        </is>
      </c>
      <c r="C378" s="8" t="n">
        <v>5</v>
      </c>
      <c r="D378" s="8" t="inlineStr">
        <is>
          <t>ENG.EAB.SRV</t>
        </is>
      </c>
    </row>
    <row r="379">
      <c r="A379" s="8" t="inlineStr">
        <is>
          <t>ENG.EAB.CNC</t>
        </is>
      </c>
      <c r="B379" s="8" t="inlineStr">
        <is>
          <t>Concept design</t>
        </is>
      </c>
      <c r="C379" s="8" t="n">
        <v>4</v>
      </c>
      <c r="D379" s="8" t="inlineStr">
        <is>
          <t>ENG.EAB</t>
        </is>
      </c>
    </row>
    <row r="380">
      <c r="A380" s="8" t="inlineStr">
        <is>
          <t>ENG.EAB.CNC.SUB</t>
        </is>
      </c>
      <c r="B380" s="8" t="inlineStr">
        <is>
          <t>Submittal</t>
        </is>
      </c>
      <c r="C380" s="8" t="n">
        <v>5</v>
      </c>
      <c r="D380" s="8" t="inlineStr">
        <is>
          <t>ENG.EAB.CNC</t>
        </is>
      </c>
    </row>
    <row r="381">
      <c r="A381" s="8" t="inlineStr">
        <is>
          <t>ENG.EAB.CNC.APR</t>
        </is>
      </c>
      <c r="B381" s="8" t="inlineStr">
        <is>
          <t>Approval</t>
        </is>
      </c>
      <c r="C381" s="8" t="n">
        <v>5</v>
      </c>
      <c r="D381" s="8" t="inlineStr">
        <is>
          <t>ENG.EAB.CNC</t>
        </is>
      </c>
    </row>
    <row r="382">
      <c r="A382" s="8" t="inlineStr">
        <is>
          <t>ENG.EAB.PRE</t>
        </is>
      </c>
      <c r="B382" s="8" t="inlineStr">
        <is>
          <t>Preliminary (schematic) design</t>
        </is>
      </c>
      <c r="C382" s="8" t="n">
        <v>4</v>
      </c>
      <c r="D382" s="8" t="inlineStr">
        <is>
          <t>ENG.EAB</t>
        </is>
      </c>
    </row>
    <row r="383">
      <c r="A383" s="8" t="inlineStr">
        <is>
          <t>ENG.EAB.PRE.SUB</t>
        </is>
      </c>
      <c r="B383" s="8" t="inlineStr">
        <is>
          <t>Submittal</t>
        </is>
      </c>
      <c r="C383" s="8" t="n">
        <v>5</v>
      </c>
      <c r="D383" s="8" t="inlineStr">
        <is>
          <t>ENG.EAB.PRE</t>
        </is>
      </c>
    </row>
    <row r="384">
      <c r="A384" s="8" t="inlineStr">
        <is>
          <t>ENG.EAB.PRE.APR</t>
        </is>
      </c>
      <c r="B384" s="8" t="inlineStr">
        <is>
          <t>Approval</t>
        </is>
      </c>
      <c r="C384" s="8" t="n">
        <v>5</v>
      </c>
      <c r="D384" s="8" t="inlineStr">
        <is>
          <t>ENG.EAB.PRE</t>
        </is>
      </c>
    </row>
    <row r="385">
      <c r="A385" s="8" t="inlineStr">
        <is>
          <t>ENG.EAB.DET</t>
        </is>
      </c>
      <c r="B385" s="8" t="inlineStr">
        <is>
          <t>Detailed design</t>
        </is>
      </c>
      <c r="C385" s="8" t="n">
        <v>4</v>
      </c>
      <c r="D385" s="8" t="inlineStr">
        <is>
          <t>ENG.EAB</t>
        </is>
      </c>
    </row>
    <row r="386">
      <c r="A386" s="8" t="inlineStr">
        <is>
          <t>ENG.EAB.DET.SUB</t>
        </is>
      </c>
      <c r="B386" s="8" t="inlineStr">
        <is>
          <t>Submittal</t>
        </is>
      </c>
      <c r="C386" s="8" t="n">
        <v>5</v>
      </c>
      <c r="D386" s="8" t="inlineStr">
        <is>
          <t>ENG.EAB.DET</t>
        </is>
      </c>
    </row>
    <row r="387">
      <c r="A387" s="8" t="inlineStr">
        <is>
          <t>ENG.EAB.DET.APR</t>
        </is>
      </c>
      <c r="B387" s="8" t="inlineStr">
        <is>
          <t>Approval</t>
        </is>
      </c>
      <c r="C387" s="8" t="n">
        <v>5</v>
      </c>
      <c r="D387" s="8" t="inlineStr">
        <is>
          <t>ENG.EAB.DET</t>
        </is>
      </c>
    </row>
    <row r="388">
      <c r="A388" s="8" t="inlineStr">
        <is>
          <t>ENG.EAB.IFC</t>
        </is>
      </c>
      <c r="B388" s="8" t="inlineStr">
        <is>
          <t>IFC and shop drawings</t>
        </is>
      </c>
      <c r="C388" s="8" t="n">
        <v>4</v>
      </c>
      <c r="D388" s="8" t="inlineStr">
        <is>
          <t>ENG.EAB</t>
        </is>
      </c>
    </row>
    <row r="389">
      <c r="A389" s="8" t="inlineStr">
        <is>
          <t>ENG.EAB.IFC.SUB</t>
        </is>
      </c>
      <c r="B389" s="8" t="inlineStr">
        <is>
          <t>Submittal</t>
        </is>
      </c>
      <c r="C389" s="8" t="n">
        <v>5</v>
      </c>
      <c r="D389" s="8" t="inlineStr">
        <is>
          <t>ENG.EAB.IFC</t>
        </is>
      </c>
    </row>
    <row r="390">
      <c r="A390" s="8" t="inlineStr">
        <is>
          <t>ENG.EAB.IFC.APR</t>
        </is>
      </c>
      <c r="B390" s="8" t="inlineStr">
        <is>
          <t>Approval</t>
        </is>
      </c>
      <c r="C390" s="8" t="n">
        <v>5</v>
      </c>
      <c r="D390" s="8" t="inlineStr">
        <is>
          <t>ENG.EAB.IFC</t>
        </is>
      </c>
    </row>
    <row r="391">
      <c r="A391" s="8" t="inlineStr">
        <is>
          <t>ENG.EAB.HCS</t>
        </is>
      </c>
      <c r="B391" s="8" t="inlineStr">
        <is>
          <t>HCIS documentation (Stage 3 and 4)</t>
        </is>
      </c>
      <c r="C391" s="8" t="n">
        <v>4</v>
      </c>
      <c r="D391" s="8" t="inlineStr">
        <is>
          <t>ENG.EAB</t>
        </is>
      </c>
    </row>
    <row r="392">
      <c r="A392" s="8" t="inlineStr">
        <is>
          <t>ENG.EAB.HCS.SUB</t>
        </is>
      </c>
      <c r="B392" s="8" t="inlineStr">
        <is>
          <t>Submittal</t>
        </is>
      </c>
      <c r="C392" s="8" t="n">
        <v>5</v>
      </c>
      <c r="D392" s="8" t="inlineStr">
        <is>
          <t>ENG.EAB.HCS</t>
        </is>
      </c>
    </row>
    <row r="393">
      <c r="A393" s="8" t="inlineStr">
        <is>
          <t>ENG.EAB.HCS.APR</t>
        </is>
      </c>
      <c r="B393" s="8" t="inlineStr">
        <is>
          <t>Approval</t>
        </is>
      </c>
      <c r="C393" s="8" t="n">
        <v>5</v>
      </c>
      <c r="D393" s="8" t="inlineStr">
        <is>
          <t>ENG.EAB.HCS</t>
        </is>
      </c>
    </row>
    <row r="394">
      <c r="A394" s="8" t="inlineStr">
        <is>
          <t>ENG.EAB.ASB</t>
        </is>
      </c>
      <c r="B394" s="8" t="inlineStr">
        <is>
          <t>As-built and O&amp;M documentation</t>
        </is>
      </c>
      <c r="C394" s="8" t="n">
        <v>4</v>
      </c>
      <c r="D394" s="8" t="inlineStr">
        <is>
          <t>ENG.EAB</t>
        </is>
      </c>
    </row>
    <row r="395">
      <c r="A395" s="8" t="inlineStr">
        <is>
          <t>ENG.EAB.ASB.SUB</t>
        </is>
      </c>
      <c r="B395" s="8" t="inlineStr">
        <is>
          <t>Submittal</t>
        </is>
      </c>
      <c r="C395" s="8" t="n">
        <v>5</v>
      </c>
      <c r="D395" s="8" t="inlineStr">
        <is>
          <t>ENG.EAB.ASB</t>
        </is>
      </c>
    </row>
    <row r="396">
      <c r="A396" s="8" t="inlineStr">
        <is>
          <t>ENG.EAB.ASB.APR</t>
        </is>
      </c>
      <c r="B396" s="8" t="inlineStr">
        <is>
          <t>Approval</t>
        </is>
      </c>
      <c r="C396" s="8" t="n">
        <v>5</v>
      </c>
      <c r="D396" s="8" t="inlineStr">
        <is>
          <t>ENG.EAB.ASB</t>
        </is>
      </c>
    </row>
    <row r="397">
      <c r="A397" s="8" t="inlineStr">
        <is>
          <t>PRO.EAB.CCT</t>
        </is>
      </c>
      <c r="B397" s="8" t="inlineStr">
        <is>
          <t>CCTV system</t>
        </is>
      </c>
      <c r="C397" s="8" t="n">
        <v>4</v>
      </c>
      <c r="D397" s="8" t="inlineStr">
        <is>
          <t>PRO.EAB</t>
        </is>
      </c>
    </row>
    <row r="398">
      <c r="A398" s="8" t="inlineStr">
        <is>
          <t>PRO.EAB.VMS</t>
        </is>
      </c>
      <c r="B398" s="8" t="inlineStr">
        <is>
          <t>Video management and video wall</t>
        </is>
      </c>
      <c r="C398" s="8" t="n">
        <v>4</v>
      </c>
      <c r="D398" s="8" t="inlineStr">
        <is>
          <t>PRO.EAB</t>
        </is>
      </c>
    </row>
    <row r="399">
      <c r="A399" s="8" t="inlineStr">
        <is>
          <t>PRO.EAB.ACC</t>
        </is>
      </c>
      <c r="B399" s="8" t="inlineStr">
        <is>
          <t>Access control and intercom</t>
        </is>
      </c>
      <c r="C399" s="8" t="n">
        <v>4</v>
      </c>
      <c r="D399" s="8" t="inlineStr">
        <is>
          <t>PRO.EAB</t>
        </is>
      </c>
    </row>
    <row r="400">
      <c r="A400" s="8" t="inlineStr">
        <is>
          <t>PRO.EAB.UPN</t>
        </is>
      </c>
      <c r="B400" s="8" t="inlineStr">
        <is>
          <t>UPS, network and cabinets</t>
        </is>
      </c>
      <c r="C400" s="8" t="n">
        <v>4</v>
      </c>
      <c r="D400" s="8" t="inlineStr">
        <is>
          <t>PRO.EAB</t>
        </is>
      </c>
    </row>
    <row r="401">
      <c r="A401" s="8" t="inlineStr">
        <is>
          <t>PRO.EAB.LOG</t>
        </is>
      </c>
      <c r="B401" s="8" t="inlineStr">
        <is>
          <t>FAT and logistics</t>
        </is>
      </c>
      <c r="C401" s="8" t="n">
        <v>4</v>
      </c>
      <c r="D401" s="8" t="inlineStr">
        <is>
          <t>PRO.EAB</t>
        </is>
      </c>
    </row>
    <row r="402">
      <c r="A402" s="8" t="inlineStr">
        <is>
          <t>CON.EAB.ENA</t>
        </is>
      </c>
      <c r="B402" s="8" t="inlineStr">
        <is>
          <t>Enabling works</t>
        </is>
      </c>
      <c r="C402" s="8" t="n">
        <v>4</v>
      </c>
      <c r="D402" s="8" t="inlineStr">
        <is>
          <t>CON.EAB</t>
        </is>
      </c>
    </row>
    <row r="403">
      <c r="A403" s="8" t="inlineStr">
        <is>
          <t>CON.EAB.CIV</t>
        </is>
      </c>
      <c r="B403" s="8" t="inlineStr">
        <is>
          <t>Civil works</t>
        </is>
      </c>
      <c r="C403" s="8" t="n">
        <v>4</v>
      </c>
      <c r="D403" s="8" t="inlineStr">
        <is>
          <t>CON.EAB</t>
        </is>
      </c>
    </row>
    <row r="404">
      <c r="A404" s="8" t="inlineStr">
        <is>
          <t>CON.EAB.INS</t>
        </is>
      </c>
      <c r="B404" s="8" t="inlineStr">
        <is>
          <t>Installation</t>
        </is>
      </c>
      <c r="C404" s="8" t="n">
        <v>4</v>
      </c>
      <c r="D404" s="8" t="inlineStr">
        <is>
          <t>CON.EAB</t>
        </is>
      </c>
    </row>
    <row r="405">
      <c r="A405" s="8" t="inlineStr">
        <is>
          <t>COM.EAB.TST</t>
        </is>
      </c>
      <c r="B405" s="8" t="inlineStr">
        <is>
          <t>Testing and commissioning</t>
        </is>
      </c>
      <c r="C405" s="8" t="n">
        <v>4</v>
      </c>
      <c r="D405" s="8" t="inlineStr">
        <is>
          <t>COM.EAB</t>
        </is>
      </c>
    </row>
    <row r="406">
      <c r="A406" s="8" t="inlineStr">
        <is>
          <t>COM.EAB.TRN</t>
        </is>
      </c>
      <c r="B406" s="8" t="inlineStr">
        <is>
          <t>Training</t>
        </is>
      </c>
      <c r="C406" s="8" t="n">
        <v>4</v>
      </c>
      <c r="D406" s="8" t="inlineStr">
        <is>
          <t>COM.EAB</t>
        </is>
      </c>
    </row>
    <row r="407">
      <c r="A407" s="8" t="inlineStr">
        <is>
          <t>COM.EAB.TOA</t>
        </is>
      </c>
      <c r="B407" s="8" t="inlineStr">
        <is>
          <t>Trial operation and acceptance</t>
        </is>
      </c>
      <c r="C407" s="8" t="n">
        <v>4</v>
      </c>
      <c r="D407" s="8" t="inlineStr">
        <is>
          <t>COM.EAB</t>
        </is>
      </c>
    </row>
    <row r="408">
      <c r="A408" s="8" t="inlineStr">
        <is>
          <t>ENG.NHL</t>
        </is>
      </c>
      <c r="B408" s="8" t="inlineStr">
        <is>
          <t>Hail (NSR)</t>
        </is>
      </c>
      <c r="C408" s="8" t="n">
        <v>3</v>
      </c>
      <c r="D408" s="8" t="inlineStr">
        <is>
          <t>ENG</t>
        </is>
      </c>
    </row>
    <row r="409">
      <c r="A409" s="8" t="inlineStr">
        <is>
          <t>PRO.NHL</t>
        </is>
      </c>
      <c r="B409" s="8" t="inlineStr">
        <is>
          <t>Hail (NSR)</t>
        </is>
      </c>
      <c r="C409" s="8" t="n">
        <v>3</v>
      </c>
      <c r="D409" s="8" t="inlineStr">
        <is>
          <t>PRO</t>
        </is>
      </c>
    </row>
    <row r="410">
      <c r="A410" s="8" t="inlineStr">
        <is>
          <t>CON.NHL</t>
        </is>
      </c>
      <c r="B410" s="8" t="inlineStr">
        <is>
          <t>Hail (NSR)</t>
        </is>
      </c>
      <c r="C410" s="8" t="n">
        <v>3</v>
      </c>
      <c r="D410" s="8" t="inlineStr">
        <is>
          <t>CON</t>
        </is>
      </c>
    </row>
    <row r="411">
      <c r="A411" s="8" t="inlineStr">
        <is>
          <t>COM.NHL</t>
        </is>
      </c>
      <c r="B411" s="8" t="inlineStr">
        <is>
          <t>Hail (NSR)</t>
        </is>
      </c>
      <c r="C411" s="8" t="n">
        <v>3</v>
      </c>
      <c r="D411" s="8" t="inlineStr">
        <is>
          <t>COM</t>
        </is>
      </c>
    </row>
    <row r="412">
      <c r="A412" s="8" t="inlineStr">
        <is>
          <t>ENG.NHL.SRV</t>
        </is>
      </c>
      <c r="B412" s="8" t="inlineStr">
        <is>
          <t>Site survey and as-found verification</t>
        </is>
      </c>
      <c r="C412" s="8" t="n">
        <v>4</v>
      </c>
      <c r="D412" s="8" t="inlineStr">
        <is>
          <t>ENG.NHL</t>
        </is>
      </c>
    </row>
    <row r="413">
      <c r="A413" s="8" t="inlineStr">
        <is>
          <t>ENG.NHL.SRV.SUB</t>
        </is>
      </c>
      <c r="B413" s="8" t="inlineStr">
        <is>
          <t>Submittal</t>
        </is>
      </c>
      <c r="C413" s="8" t="n">
        <v>5</v>
      </c>
      <c r="D413" s="8" t="inlineStr">
        <is>
          <t>ENG.NHL.SRV</t>
        </is>
      </c>
    </row>
    <row r="414">
      <c r="A414" s="8" t="inlineStr">
        <is>
          <t>ENG.NHL.SRV.APR</t>
        </is>
      </c>
      <c r="B414" s="8" t="inlineStr">
        <is>
          <t>Approval</t>
        </is>
      </c>
      <c r="C414" s="8" t="n">
        <v>5</v>
      </c>
      <c r="D414" s="8" t="inlineStr">
        <is>
          <t>ENG.NHL.SRV</t>
        </is>
      </c>
    </row>
    <row r="415">
      <c r="A415" s="8" t="inlineStr">
        <is>
          <t>ENG.NHL.CNC</t>
        </is>
      </c>
      <c r="B415" s="8" t="inlineStr">
        <is>
          <t>Concept design</t>
        </is>
      </c>
      <c r="C415" s="8" t="n">
        <v>4</v>
      </c>
      <c r="D415" s="8" t="inlineStr">
        <is>
          <t>ENG.NHL</t>
        </is>
      </c>
    </row>
    <row r="416">
      <c r="A416" s="8" t="inlineStr">
        <is>
          <t>ENG.NHL.CNC.SUB</t>
        </is>
      </c>
      <c r="B416" s="8" t="inlineStr">
        <is>
          <t>Submittal</t>
        </is>
      </c>
      <c r="C416" s="8" t="n">
        <v>5</v>
      </c>
      <c r="D416" s="8" t="inlineStr">
        <is>
          <t>ENG.NHL.CNC</t>
        </is>
      </c>
    </row>
    <row r="417">
      <c r="A417" s="8" t="inlineStr">
        <is>
          <t>ENG.NHL.CNC.APR</t>
        </is>
      </c>
      <c r="B417" s="8" t="inlineStr">
        <is>
          <t>Approval</t>
        </is>
      </c>
      <c r="C417" s="8" t="n">
        <v>5</v>
      </c>
      <c r="D417" s="8" t="inlineStr">
        <is>
          <t>ENG.NHL.CNC</t>
        </is>
      </c>
    </row>
    <row r="418">
      <c r="A418" s="8" t="inlineStr">
        <is>
          <t>ENG.NHL.PRE</t>
        </is>
      </c>
      <c r="B418" s="8" t="inlineStr">
        <is>
          <t>Preliminary (schematic) design</t>
        </is>
      </c>
      <c r="C418" s="8" t="n">
        <v>4</v>
      </c>
      <c r="D418" s="8" t="inlineStr">
        <is>
          <t>ENG.NHL</t>
        </is>
      </c>
    </row>
    <row r="419">
      <c r="A419" s="8" t="inlineStr">
        <is>
          <t>ENG.NHL.PRE.SUB</t>
        </is>
      </c>
      <c r="B419" s="8" t="inlineStr">
        <is>
          <t>Submittal</t>
        </is>
      </c>
      <c r="C419" s="8" t="n">
        <v>5</v>
      </c>
      <c r="D419" s="8" t="inlineStr">
        <is>
          <t>ENG.NHL.PRE</t>
        </is>
      </c>
    </row>
    <row r="420">
      <c r="A420" s="8" t="inlineStr">
        <is>
          <t>ENG.NHL.PRE.APR</t>
        </is>
      </c>
      <c r="B420" s="8" t="inlineStr">
        <is>
          <t>Approval</t>
        </is>
      </c>
      <c r="C420" s="8" t="n">
        <v>5</v>
      </c>
      <c r="D420" s="8" t="inlineStr">
        <is>
          <t>ENG.NHL.PRE</t>
        </is>
      </c>
    </row>
    <row r="421">
      <c r="A421" s="8" t="inlineStr">
        <is>
          <t>ENG.NHL.DET</t>
        </is>
      </c>
      <c r="B421" s="8" t="inlineStr">
        <is>
          <t>Detailed design</t>
        </is>
      </c>
      <c r="C421" s="8" t="n">
        <v>4</v>
      </c>
      <c r="D421" s="8" t="inlineStr">
        <is>
          <t>ENG.NHL</t>
        </is>
      </c>
    </row>
    <row r="422">
      <c r="A422" s="8" t="inlineStr">
        <is>
          <t>ENG.NHL.DET.SUB</t>
        </is>
      </c>
      <c r="B422" s="8" t="inlineStr">
        <is>
          <t>Submittal</t>
        </is>
      </c>
      <c r="C422" s="8" t="n">
        <v>5</v>
      </c>
      <c r="D422" s="8" t="inlineStr">
        <is>
          <t>ENG.NHL.DET</t>
        </is>
      </c>
    </row>
    <row r="423">
      <c r="A423" s="8" t="inlineStr">
        <is>
          <t>ENG.NHL.DET.APR</t>
        </is>
      </c>
      <c r="B423" s="8" t="inlineStr">
        <is>
          <t>Approval</t>
        </is>
      </c>
      <c r="C423" s="8" t="n">
        <v>5</v>
      </c>
      <c r="D423" s="8" t="inlineStr">
        <is>
          <t>ENG.NHL.DET</t>
        </is>
      </c>
    </row>
    <row r="424">
      <c r="A424" s="8" t="inlineStr">
        <is>
          <t>ENG.NHL.IFC</t>
        </is>
      </c>
      <c r="B424" s="8" t="inlineStr">
        <is>
          <t>IFC and shop drawings</t>
        </is>
      </c>
      <c r="C424" s="8" t="n">
        <v>4</v>
      </c>
      <c r="D424" s="8" t="inlineStr">
        <is>
          <t>ENG.NHL</t>
        </is>
      </c>
    </row>
    <row r="425">
      <c r="A425" s="8" t="inlineStr">
        <is>
          <t>ENG.NHL.IFC.SUB</t>
        </is>
      </c>
      <c r="B425" s="8" t="inlineStr">
        <is>
          <t>Submittal</t>
        </is>
      </c>
      <c r="C425" s="8" t="n">
        <v>5</v>
      </c>
      <c r="D425" s="8" t="inlineStr">
        <is>
          <t>ENG.NHL.IFC</t>
        </is>
      </c>
    </row>
    <row r="426">
      <c r="A426" s="8" t="inlineStr">
        <is>
          <t>ENG.NHL.IFC.APR</t>
        </is>
      </c>
      <c r="B426" s="8" t="inlineStr">
        <is>
          <t>Approval</t>
        </is>
      </c>
      <c r="C426" s="8" t="n">
        <v>5</v>
      </c>
      <c r="D426" s="8" t="inlineStr">
        <is>
          <t>ENG.NHL.IFC</t>
        </is>
      </c>
    </row>
    <row r="427">
      <c r="A427" s="8" t="inlineStr">
        <is>
          <t>ENG.NHL.HCS</t>
        </is>
      </c>
      <c r="B427" s="8" t="inlineStr">
        <is>
          <t>HCIS documentation (Stage 3 and 4)</t>
        </is>
      </c>
      <c r="C427" s="8" t="n">
        <v>4</v>
      </c>
      <c r="D427" s="8" t="inlineStr">
        <is>
          <t>ENG.NHL</t>
        </is>
      </c>
    </row>
    <row r="428">
      <c r="A428" s="8" t="inlineStr">
        <is>
          <t>ENG.NHL.HCS.SUB</t>
        </is>
      </c>
      <c r="B428" s="8" t="inlineStr">
        <is>
          <t>Submittal</t>
        </is>
      </c>
      <c r="C428" s="8" t="n">
        <v>5</v>
      </c>
      <c r="D428" s="8" t="inlineStr">
        <is>
          <t>ENG.NHL.HCS</t>
        </is>
      </c>
    </row>
    <row r="429">
      <c r="A429" s="8" t="inlineStr">
        <is>
          <t>ENG.NHL.HCS.APR</t>
        </is>
      </c>
      <c r="B429" s="8" t="inlineStr">
        <is>
          <t>Approval</t>
        </is>
      </c>
      <c r="C429" s="8" t="n">
        <v>5</v>
      </c>
      <c r="D429" s="8" t="inlineStr">
        <is>
          <t>ENG.NHL.HCS</t>
        </is>
      </c>
    </row>
    <row r="430">
      <c r="A430" s="8" t="inlineStr">
        <is>
          <t>ENG.NHL.ASB</t>
        </is>
      </c>
      <c r="B430" s="8" t="inlineStr">
        <is>
          <t>As-built and O&amp;M documentation</t>
        </is>
      </c>
      <c r="C430" s="8" t="n">
        <v>4</v>
      </c>
      <c r="D430" s="8" t="inlineStr">
        <is>
          <t>ENG.NHL</t>
        </is>
      </c>
    </row>
    <row r="431">
      <c r="A431" s="8" t="inlineStr">
        <is>
          <t>ENG.NHL.ASB.SUB</t>
        </is>
      </c>
      <c r="B431" s="8" t="inlineStr">
        <is>
          <t>Submittal</t>
        </is>
      </c>
      <c r="C431" s="8" t="n">
        <v>5</v>
      </c>
      <c r="D431" s="8" t="inlineStr">
        <is>
          <t>ENG.NHL.ASB</t>
        </is>
      </c>
    </row>
    <row r="432">
      <c r="A432" s="8" t="inlineStr">
        <is>
          <t>ENG.NHL.ASB.APR</t>
        </is>
      </c>
      <c r="B432" s="8" t="inlineStr">
        <is>
          <t>Approval</t>
        </is>
      </c>
      <c r="C432" s="8" t="n">
        <v>5</v>
      </c>
      <c r="D432" s="8" t="inlineStr">
        <is>
          <t>ENG.NHL.ASB</t>
        </is>
      </c>
    </row>
    <row r="433">
      <c r="A433" s="8" t="inlineStr">
        <is>
          <t>PRO.NHL.CCT</t>
        </is>
      </c>
      <c r="B433" s="8" t="inlineStr">
        <is>
          <t>CCTV system</t>
        </is>
      </c>
      <c r="C433" s="8" t="n">
        <v>4</v>
      </c>
      <c r="D433" s="8" t="inlineStr">
        <is>
          <t>PRO.NHL</t>
        </is>
      </c>
    </row>
    <row r="434">
      <c r="A434" s="8" t="inlineStr">
        <is>
          <t>PRO.NHL.VMS</t>
        </is>
      </c>
      <c r="B434" s="8" t="inlineStr">
        <is>
          <t>Video management and video wall</t>
        </is>
      </c>
      <c r="C434" s="8" t="n">
        <v>4</v>
      </c>
      <c r="D434" s="8" t="inlineStr">
        <is>
          <t>PRO.NHL</t>
        </is>
      </c>
    </row>
    <row r="435">
      <c r="A435" s="8" t="inlineStr">
        <is>
          <t>PRO.NHL.ACC</t>
        </is>
      </c>
      <c r="B435" s="8" t="inlineStr">
        <is>
          <t>Access control and intercom</t>
        </is>
      </c>
      <c r="C435" s="8" t="n">
        <v>4</v>
      </c>
      <c r="D435" s="8" t="inlineStr">
        <is>
          <t>PRO.NHL</t>
        </is>
      </c>
    </row>
    <row r="436">
      <c r="A436" s="8" t="inlineStr">
        <is>
          <t>PRO.NHL.UPN</t>
        </is>
      </c>
      <c r="B436" s="8" t="inlineStr">
        <is>
          <t>UPS, network and cabinets</t>
        </is>
      </c>
      <c r="C436" s="8" t="n">
        <v>4</v>
      </c>
      <c r="D436" s="8" t="inlineStr">
        <is>
          <t>PRO.NHL</t>
        </is>
      </c>
    </row>
    <row r="437">
      <c r="A437" s="8" t="inlineStr">
        <is>
          <t>PRO.NHL.LOG</t>
        </is>
      </c>
      <c r="B437" s="8" t="inlineStr">
        <is>
          <t>FAT and logistics</t>
        </is>
      </c>
      <c r="C437" s="8" t="n">
        <v>4</v>
      </c>
      <c r="D437" s="8" t="inlineStr">
        <is>
          <t>PRO.NHL</t>
        </is>
      </c>
    </row>
    <row r="438">
      <c r="A438" s="8" t="inlineStr">
        <is>
          <t>CON.NHL.ENA</t>
        </is>
      </c>
      <c r="B438" s="8" t="inlineStr">
        <is>
          <t>Enabling works</t>
        </is>
      </c>
      <c r="C438" s="8" t="n">
        <v>4</v>
      </c>
      <c r="D438" s="8" t="inlineStr">
        <is>
          <t>CON.NHL</t>
        </is>
      </c>
    </row>
    <row r="439">
      <c r="A439" s="8" t="inlineStr">
        <is>
          <t>CON.NHL.CIV</t>
        </is>
      </c>
      <c r="B439" s="8" t="inlineStr">
        <is>
          <t>Civil works</t>
        </is>
      </c>
      <c r="C439" s="8" t="n">
        <v>4</v>
      </c>
      <c r="D439" s="8" t="inlineStr">
        <is>
          <t>CON.NHL</t>
        </is>
      </c>
    </row>
    <row r="440">
      <c r="A440" s="8" t="inlineStr">
        <is>
          <t>CON.NHL.INS</t>
        </is>
      </c>
      <c r="B440" s="8" t="inlineStr">
        <is>
          <t>Installation</t>
        </is>
      </c>
      <c r="C440" s="8" t="n">
        <v>4</v>
      </c>
      <c r="D440" s="8" t="inlineStr">
        <is>
          <t>CON.NHL</t>
        </is>
      </c>
    </row>
    <row r="441">
      <c r="A441" s="8" t="inlineStr">
        <is>
          <t>COM.NHL.TST</t>
        </is>
      </c>
      <c r="B441" s="8" t="inlineStr">
        <is>
          <t>Testing and commissioning</t>
        </is>
      </c>
      <c r="C441" s="8" t="n">
        <v>4</v>
      </c>
      <c r="D441" s="8" t="inlineStr">
        <is>
          <t>COM.NHL</t>
        </is>
      </c>
    </row>
    <row r="442">
      <c r="A442" s="8" t="inlineStr">
        <is>
          <t>COM.NHL.TRN</t>
        </is>
      </c>
      <c r="B442" s="8" t="inlineStr">
        <is>
          <t>Training</t>
        </is>
      </c>
      <c r="C442" s="8" t="n">
        <v>4</v>
      </c>
      <c r="D442" s="8" t="inlineStr">
        <is>
          <t>COM.NHL</t>
        </is>
      </c>
    </row>
    <row r="443">
      <c r="A443" s="8" t="inlineStr">
        <is>
          <t>COM.NHL.TOA</t>
        </is>
      </c>
      <c r="B443" s="8" t="inlineStr">
        <is>
          <t>Trial operation and acceptance</t>
        </is>
      </c>
      <c r="C443" s="8" t="n">
        <v>4</v>
      </c>
      <c r="D443" s="8" t="inlineStr">
        <is>
          <t>COM.NHL</t>
        </is>
      </c>
    </row>
    <row r="444">
      <c r="A444" s="8" t="inlineStr">
        <is>
          <t>ENG.NJF</t>
        </is>
      </c>
      <c r="B444" s="8" t="inlineStr">
        <is>
          <t>Al Jouf (NSR)</t>
        </is>
      </c>
      <c r="C444" s="8" t="n">
        <v>3</v>
      </c>
      <c r="D444" s="8" t="inlineStr">
        <is>
          <t>ENG</t>
        </is>
      </c>
    </row>
    <row r="445">
      <c r="A445" s="8" t="inlineStr">
        <is>
          <t>PRO.NJF</t>
        </is>
      </c>
      <c r="B445" s="8" t="inlineStr">
        <is>
          <t>Al Jouf (NSR)</t>
        </is>
      </c>
      <c r="C445" s="8" t="n">
        <v>3</v>
      </c>
      <c r="D445" s="8" t="inlineStr">
        <is>
          <t>PRO</t>
        </is>
      </c>
    </row>
    <row r="446">
      <c r="A446" s="8" t="inlineStr">
        <is>
          <t>CON.NJF</t>
        </is>
      </c>
      <c r="B446" s="8" t="inlineStr">
        <is>
          <t>Al Jouf (NSR)</t>
        </is>
      </c>
      <c r="C446" s="8" t="n">
        <v>3</v>
      </c>
      <c r="D446" s="8" t="inlineStr">
        <is>
          <t>CON</t>
        </is>
      </c>
    </row>
    <row r="447">
      <c r="A447" s="8" t="inlineStr">
        <is>
          <t>COM.NJF</t>
        </is>
      </c>
      <c r="B447" s="8" t="inlineStr">
        <is>
          <t>Al Jouf (NSR)</t>
        </is>
      </c>
      <c r="C447" s="8" t="n">
        <v>3</v>
      </c>
      <c r="D447" s="8" t="inlineStr">
        <is>
          <t>COM</t>
        </is>
      </c>
    </row>
    <row r="448">
      <c r="A448" s="8" t="inlineStr">
        <is>
          <t>ENG.NJF.SRV</t>
        </is>
      </c>
      <c r="B448" s="8" t="inlineStr">
        <is>
          <t>Site survey and as-found verification</t>
        </is>
      </c>
      <c r="C448" s="8" t="n">
        <v>4</v>
      </c>
      <c r="D448" s="8" t="inlineStr">
        <is>
          <t>ENG.NJF</t>
        </is>
      </c>
    </row>
    <row r="449">
      <c r="A449" s="8" t="inlineStr">
        <is>
          <t>ENG.NJF.SRV.SUB</t>
        </is>
      </c>
      <c r="B449" s="8" t="inlineStr">
        <is>
          <t>Submittal</t>
        </is>
      </c>
      <c r="C449" s="8" t="n">
        <v>5</v>
      </c>
      <c r="D449" s="8" t="inlineStr">
        <is>
          <t>ENG.NJF.SRV</t>
        </is>
      </c>
    </row>
    <row r="450">
      <c r="A450" s="8" t="inlineStr">
        <is>
          <t>ENG.NJF.SRV.APR</t>
        </is>
      </c>
      <c r="B450" s="8" t="inlineStr">
        <is>
          <t>Approval</t>
        </is>
      </c>
      <c r="C450" s="8" t="n">
        <v>5</v>
      </c>
      <c r="D450" s="8" t="inlineStr">
        <is>
          <t>ENG.NJF.SRV</t>
        </is>
      </c>
    </row>
    <row r="451">
      <c r="A451" s="8" t="inlineStr">
        <is>
          <t>ENG.NJF.CNC</t>
        </is>
      </c>
      <c r="B451" s="8" t="inlineStr">
        <is>
          <t>Concept design</t>
        </is>
      </c>
      <c r="C451" s="8" t="n">
        <v>4</v>
      </c>
      <c r="D451" s="8" t="inlineStr">
        <is>
          <t>ENG.NJF</t>
        </is>
      </c>
    </row>
    <row r="452">
      <c r="A452" s="8" t="inlineStr">
        <is>
          <t>ENG.NJF.CNC.SUB</t>
        </is>
      </c>
      <c r="B452" s="8" t="inlineStr">
        <is>
          <t>Submittal</t>
        </is>
      </c>
      <c r="C452" s="8" t="n">
        <v>5</v>
      </c>
      <c r="D452" s="8" t="inlineStr">
        <is>
          <t>ENG.NJF.CNC</t>
        </is>
      </c>
    </row>
    <row r="453">
      <c r="A453" s="8" t="inlineStr">
        <is>
          <t>ENG.NJF.CNC.APR</t>
        </is>
      </c>
      <c r="B453" s="8" t="inlineStr">
        <is>
          <t>Approval</t>
        </is>
      </c>
      <c r="C453" s="8" t="n">
        <v>5</v>
      </c>
      <c r="D453" s="8" t="inlineStr">
        <is>
          <t>ENG.NJF.CNC</t>
        </is>
      </c>
    </row>
    <row r="454">
      <c r="A454" s="8" t="inlineStr">
        <is>
          <t>ENG.NJF.PRE</t>
        </is>
      </c>
      <c r="B454" s="8" t="inlineStr">
        <is>
          <t>Preliminary (schematic) design</t>
        </is>
      </c>
      <c r="C454" s="8" t="n">
        <v>4</v>
      </c>
      <c r="D454" s="8" t="inlineStr">
        <is>
          <t>ENG.NJF</t>
        </is>
      </c>
    </row>
    <row r="455">
      <c r="A455" s="8" t="inlineStr">
        <is>
          <t>ENG.NJF.PRE.SUB</t>
        </is>
      </c>
      <c r="B455" s="8" t="inlineStr">
        <is>
          <t>Submittal</t>
        </is>
      </c>
      <c r="C455" s="8" t="n">
        <v>5</v>
      </c>
      <c r="D455" s="8" t="inlineStr">
        <is>
          <t>ENG.NJF.PRE</t>
        </is>
      </c>
    </row>
    <row r="456">
      <c r="A456" s="8" t="inlineStr">
        <is>
          <t>ENG.NJF.PRE.APR</t>
        </is>
      </c>
      <c r="B456" s="8" t="inlineStr">
        <is>
          <t>Approval</t>
        </is>
      </c>
      <c r="C456" s="8" t="n">
        <v>5</v>
      </c>
      <c r="D456" s="8" t="inlineStr">
        <is>
          <t>ENG.NJF.PRE</t>
        </is>
      </c>
    </row>
    <row r="457">
      <c r="A457" s="8" t="inlineStr">
        <is>
          <t>ENG.NJF.DET</t>
        </is>
      </c>
      <c r="B457" s="8" t="inlineStr">
        <is>
          <t>Detailed design</t>
        </is>
      </c>
      <c r="C457" s="8" t="n">
        <v>4</v>
      </c>
      <c r="D457" s="8" t="inlineStr">
        <is>
          <t>ENG.NJF</t>
        </is>
      </c>
    </row>
    <row r="458">
      <c r="A458" s="8" t="inlineStr">
        <is>
          <t>ENG.NJF.DET.SUB</t>
        </is>
      </c>
      <c r="B458" s="8" t="inlineStr">
        <is>
          <t>Submittal</t>
        </is>
      </c>
      <c r="C458" s="8" t="n">
        <v>5</v>
      </c>
      <c r="D458" s="8" t="inlineStr">
        <is>
          <t>ENG.NJF.DET</t>
        </is>
      </c>
    </row>
    <row r="459">
      <c r="A459" s="8" t="inlineStr">
        <is>
          <t>ENG.NJF.DET.APR</t>
        </is>
      </c>
      <c r="B459" s="8" t="inlineStr">
        <is>
          <t>Approval</t>
        </is>
      </c>
      <c r="C459" s="8" t="n">
        <v>5</v>
      </c>
      <c r="D459" s="8" t="inlineStr">
        <is>
          <t>ENG.NJF.DET</t>
        </is>
      </c>
    </row>
    <row r="460">
      <c r="A460" s="8" t="inlineStr">
        <is>
          <t>ENG.NJF.IFC</t>
        </is>
      </c>
      <c r="B460" s="8" t="inlineStr">
        <is>
          <t>IFC and shop drawings</t>
        </is>
      </c>
      <c r="C460" s="8" t="n">
        <v>4</v>
      </c>
      <c r="D460" s="8" t="inlineStr">
        <is>
          <t>ENG.NJF</t>
        </is>
      </c>
    </row>
    <row r="461">
      <c r="A461" s="8" t="inlineStr">
        <is>
          <t>ENG.NJF.IFC.SUB</t>
        </is>
      </c>
      <c r="B461" s="8" t="inlineStr">
        <is>
          <t>Submittal</t>
        </is>
      </c>
      <c r="C461" s="8" t="n">
        <v>5</v>
      </c>
      <c r="D461" s="8" t="inlineStr">
        <is>
          <t>ENG.NJF.IFC</t>
        </is>
      </c>
    </row>
    <row r="462">
      <c r="A462" s="8" t="inlineStr">
        <is>
          <t>ENG.NJF.IFC.APR</t>
        </is>
      </c>
      <c r="B462" s="8" t="inlineStr">
        <is>
          <t>Approval</t>
        </is>
      </c>
      <c r="C462" s="8" t="n">
        <v>5</v>
      </c>
      <c r="D462" s="8" t="inlineStr">
        <is>
          <t>ENG.NJF.IFC</t>
        </is>
      </c>
    </row>
    <row r="463">
      <c r="A463" s="8" t="inlineStr">
        <is>
          <t>ENG.NJF.HCS</t>
        </is>
      </c>
      <c r="B463" s="8" t="inlineStr">
        <is>
          <t>HCIS documentation (Stage 3 and 4)</t>
        </is>
      </c>
      <c r="C463" s="8" t="n">
        <v>4</v>
      </c>
      <c r="D463" s="8" t="inlineStr">
        <is>
          <t>ENG.NJF</t>
        </is>
      </c>
    </row>
    <row r="464">
      <c r="A464" s="8" t="inlineStr">
        <is>
          <t>ENG.NJF.HCS.SUB</t>
        </is>
      </c>
      <c r="B464" s="8" t="inlineStr">
        <is>
          <t>Submittal</t>
        </is>
      </c>
      <c r="C464" s="8" t="n">
        <v>5</v>
      </c>
      <c r="D464" s="8" t="inlineStr">
        <is>
          <t>ENG.NJF.HCS</t>
        </is>
      </c>
    </row>
    <row r="465">
      <c r="A465" s="8" t="inlineStr">
        <is>
          <t>ENG.NJF.HCS.APR</t>
        </is>
      </c>
      <c r="B465" s="8" t="inlineStr">
        <is>
          <t>Approval</t>
        </is>
      </c>
      <c r="C465" s="8" t="n">
        <v>5</v>
      </c>
      <c r="D465" s="8" t="inlineStr">
        <is>
          <t>ENG.NJF.HCS</t>
        </is>
      </c>
    </row>
    <row r="466">
      <c r="A466" s="8" t="inlineStr">
        <is>
          <t>ENG.NJF.ASB</t>
        </is>
      </c>
      <c r="B466" s="8" t="inlineStr">
        <is>
          <t>As-built and O&amp;M documentation</t>
        </is>
      </c>
      <c r="C466" s="8" t="n">
        <v>4</v>
      </c>
      <c r="D466" s="8" t="inlineStr">
        <is>
          <t>ENG.NJF</t>
        </is>
      </c>
    </row>
    <row r="467">
      <c r="A467" s="8" t="inlineStr">
        <is>
          <t>ENG.NJF.ASB.SUB</t>
        </is>
      </c>
      <c r="B467" s="8" t="inlineStr">
        <is>
          <t>Submittal</t>
        </is>
      </c>
      <c r="C467" s="8" t="n">
        <v>5</v>
      </c>
      <c r="D467" s="8" t="inlineStr">
        <is>
          <t>ENG.NJF.ASB</t>
        </is>
      </c>
    </row>
    <row r="468">
      <c r="A468" s="8" t="inlineStr">
        <is>
          <t>ENG.NJF.ASB.APR</t>
        </is>
      </c>
      <c r="B468" s="8" t="inlineStr">
        <is>
          <t>Approval</t>
        </is>
      </c>
      <c r="C468" s="8" t="n">
        <v>5</v>
      </c>
      <c r="D468" s="8" t="inlineStr">
        <is>
          <t>ENG.NJF.ASB</t>
        </is>
      </c>
    </row>
    <row r="469">
      <c r="A469" s="8" t="inlineStr">
        <is>
          <t>PRO.NJF.CCT</t>
        </is>
      </c>
      <c r="B469" s="8" t="inlineStr">
        <is>
          <t>CCTV system</t>
        </is>
      </c>
      <c r="C469" s="8" t="n">
        <v>4</v>
      </c>
      <c r="D469" s="8" t="inlineStr">
        <is>
          <t>PRO.NJF</t>
        </is>
      </c>
    </row>
    <row r="470">
      <c r="A470" s="8" t="inlineStr">
        <is>
          <t>PRO.NJF.VMS</t>
        </is>
      </c>
      <c r="B470" s="8" t="inlineStr">
        <is>
          <t>Video management and video wall</t>
        </is>
      </c>
      <c r="C470" s="8" t="n">
        <v>4</v>
      </c>
      <c r="D470" s="8" t="inlineStr">
        <is>
          <t>PRO.NJF</t>
        </is>
      </c>
    </row>
    <row r="471">
      <c r="A471" s="8" t="inlineStr">
        <is>
          <t>PRO.NJF.ACC</t>
        </is>
      </c>
      <c r="B471" s="8" t="inlineStr">
        <is>
          <t>Access control and intercom</t>
        </is>
      </c>
      <c r="C471" s="8" t="n">
        <v>4</v>
      </c>
      <c r="D471" s="8" t="inlineStr">
        <is>
          <t>PRO.NJF</t>
        </is>
      </c>
    </row>
    <row r="472">
      <c r="A472" s="8" t="inlineStr">
        <is>
          <t>PRO.NJF.UPN</t>
        </is>
      </c>
      <c r="B472" s="8" t="inlineStr">
        <is>
          <t>UPS, network and cabinets</t>
        </is>
      </c>
      <c r="C472" s="8" t="n">
        <v>4</v>
      </c>
      <c r="D472" s="8" t="inlineStr">
        <is>
          <t>PRO.NJF</t>
        </is>
      </c>
    </row>
    <row r="473">
      <c r="A473" s="8" t="inlineStr">
        <is>
          <t>PRO.NJF.LOG</t>
        </is>
      </c>
      <c r="B473" s="8" t="inlineStr">
        <is>
          <t>FAT and logistics</t>
        </is>
      </c>
      <c r="C473" s="8" t="n">
        <v>4</v>
      </c>
      <c r="D473" s="8" t="inlineStr">
        <is>
          <t>PRO.NJF</t>
        </is>
      </c>
    </row>
    <row r="474">
      <c r="A474" s="8" t="inlineStr">
        <is>
          <t>CON.NJF.ENA</t>
        </is>
      </c>
      <c r="B474" s="8" t="inlineStr">
        <is>
          <t>Enabling works</t>
        </is>
      </c>
      <c r="C474" s="8" t="n">
        <v>4</v>
      </c>
      <c r="D474" s="8" t="inlineStr">
        <is>
          <t>CON.NJF</t>
        </is>
      </c>
    </row>
    <row r="475">
      <c r="A475" s="8" t="inlineStr">
        <is>
          <t>CON.NJF.CIV</t>
        </is>
      </c>
      <c r="B475" s="8" t="inlineStr">
        <is>
          <t>Civil works</t>
        </is>
      </c>
      <c r="C475" s="8" t="n">
        <v>4</v>
      </c>
      <c r="D475" s="8" t="inlineStr">
        <is>
          <t>CON.NJF</t>
        </is>
      </c>
    </row>
    <row r="476">
      <c r="A476" s="8" t="inlineStr">
        <is>
          <t>CON.NJF.INS</t>
        </is>
      </c>
      <c r="B476" s="8" t="inlineStr">
        <is>
          <t>Installation</t>
        </is>
      </c>
      <c r="C476" s="8" t="n">
        <v>4</v>
      </c>
      <c r="D476" s="8" t="inlineStr">
        <is>
          <t>CON.NJF</t>
        </is>
      </c>
    </row>
    <row r="477">
      <c r="A477" s="8" t="inlineStr">
        <is>
          <t>COM.NJF.TST</t>
        </is>
      </c>
      <c r="B477" s="8" t="inlineStr">
        <is>
          <t>Testing and commissioning</t>
        </is>
      </c>
      <c r="C477" s="8" t="n">
        <v>4</v>
      </c>
      <c r="D477" s="8" t="inlineStr">
        <is>
          <t>COM.NJF</t>
        </is>
      </c>
    </row>
    <row r="478">
      <c r="A478" s="8" t="inlineStr">
        <is>
          <t>COM.NJF.TRN</t>
        </is>
      </c>
      <c r="B478" s="8" t="inlineStr">
        <is>
          <t>Training</t>
        </is>
      </c>
      <c r="C478" s="8" t="n">
        <v>4</v>
      </c>
      <c r="D478" s="8" t="inlineStr">
        <is>
          <t>COM.NJF</t>
        </is>
      </c>
    </row>
    <row r="479">
      <c r="A479" s="8" t="inlineStr">
        <is>
          <t>COM.NJF.TOA</t>
        </is>
      </c>
      <c r="B479" s="8" t="inlineStr">
        <is>
          <t>Trial operation and acceptance</t>
        </is>
      </c>
      <c r="C479" s="8" t="n">
        <v>4</v>
      </c>
      <c r="D479" s="8" t="inlineStr">
        <is>
          <t>COM.NJF</t>
        </is>
      </c>
    </row>
    <row r="480">
      <c r="A480" s="8" t="inlineStr">
        <is>
          <t>ENG.NQR</t>
        </is>
      </c>
      <c r="B480" s="8" t="inlineStr">
        <is>
          <t>Al Qurayyat (NSR)</t>
        </is>
      </c>
      <c r="C480" s="8" t="n">
        <v>3</v>
      </c>
      <c r="D480" s="8" t="inlineStr">
        <is>
          <t>ENG</t>
        </is>
      </c>
    </row>
    <row r="481">
      <c r="A481" s="8" t="inlineStr">
        <is>
          <t>PRO.NQR</t>
        </is>
      </c>
      <c r="B481" s="8" t="inlineStr">
        <is>
          <t>Al Qurayyat (NSR)</t>
        </is>
      </c>
      <c r="C481" s="8" t="n">
        <v>3</v>
      </c>
      <c r="D481" s="8" t="inlineStr">
        <is>
          <t>PRO</t>
        </is>
      </c>
    </row>
    <row r="482">
      <c r="A482" s="8" t="inlineStr">
        <is>
          <t>CON.NQR</t>
        </is>
      </c>
      <c r="B482" s="8" t="inlineStr">
        <is>
          <t>Al Qurayyat (NSR)</t>
        </is>
      </c>
      <c r="C482" s="8" t="n">
        <v>3</v>
      </c>
      <c r="D482" s="8" t="inlineStr">
        <is>
          <t>CON</t>
        </is>
      </c>
    </row>
    <row r="483">
      <c r="A483" s="8" t="inlineStr">
        <is>
          <t>COM.NQR</t>
        </is>
      </c>
      <c r="B483" s="8" t="inlineStr">
        <is>
          <t>Al Qurayyat (NSR)</t>
        </is>
      </c>
      <c r="C483" s="8" t="n">
        <v>3</v>
      </c>
      <c r="D483" s="8" t="inlineStr">
        <is>
          <t>COM</t>
        </is>
      </c>
    </row>
    <row r="484">
      <c r="A484" s="8" t="inlineStr">
        <is>
          <t>ENG.NQR.SRV</t>
        </is>
      </c>
      <c r="B484" s="8" t="inlineStr">
        <is>
          <t>Site survey and as-found verification</t>
        </is>
      </c>
      <c r="C484" s="8" t="n">
        <v>4</v>
      </c>
      <c r="D484" s="8" t="inlineStr">
        <is>
          <t>ENG.NQR</t>
        </is>
      </c>
    </row>
    <row r="485">
      <c r="A485" s="8" t="inlineStr">
        <is>
          <t>ENG.NQR.SRV.SUB</t>
        </is>
      </c>
      <c r="B485" s="8" t="inlineStr">
        <is>
          <t>Submittal</t>
        </is>
      </c>
      <c r="C485" s="8" t="n">
        <v>5</v>
      </c>
      <c r="D485" s="8" t="inlineStr">
        <is>
          <t>ENG.NQR.SRV</t>
        </is>
      </c>
    </row>
    <row r="486">
      <c r="A486" s="8" t="inlineStr">
        <is>
          <t>ENG.NQR.SRV.APR</t>
        </is>
      </c>
      <c r="B486" s="8" t="inlineStr">
        <is>
          <t>Approval</t>
        </is>
      </c>
      <c r="C486" s="8" t="n">
        <v>5</v>
      </c>
      <c r="D486" s="8" t="inlineStr">
        <is>
          <t>ENG.NQR.SRV</t>
        </is>
      </c>
    </row>
    <row r="487">
      <c r="A487" s="8" t="inlineStr">
        <is>
          <t>ENG.NQR.CNC</t>
        </is>
      </c>
      <c r="B487" s="8" t="inlineStr">
        <is>
          <t>Concept design</t>
        </is>
      </c>
      <c r="C487" s="8" t="n">
        <v>4</v>
      </c>
      <c r="D487" s="8" t="inlineStr">
        <is>
          <t>ENG.NQR</t>
        </is>
      </c>
    </row>
    <row r="488">
      <c r="A488" s="8" t="inlineStr">
        <is>
          <t>ENG.NQR.CNC.SUB</t>
        </is>
      </c>
      <c r="B488" s="8" t="inlineStr">
        <is>
          <t>Submittal</t>
        </is>
      </c>
      <c r="C488" s="8" t="n">
        <v>5</v>
      </c>
      <c r="D488" s="8" t="inlineStr">
        <is>
          <t>ENG.NQR.CNC</t>
        </is>
      </c>
    </row>
    <row r="489">
      <c r="A489" s="8" t="inlineStr">
        <is>
          <t>ENG.NQR.CNC.APR</t>
        </is>
      </c>
      <c r="B489" s="8" t="inlineStr">
        <is>
          <t>Approval</t>
        </is>
      </c>
      <c r="C489" s="8" t="n">
        <v>5</v>
      </c>
      <c r="D489" s="8" t="inlineStr">
        <is>
          <t>ENG.NQR.CNC</t>
        </is>
      </c>
    </row>
    <row r="490">
      <c r="A490" s="8" t="inlineStr">
        <is>
          <t>ENG.NQR.PRE</t>
        </is>
      </c>
      <c r="B490" s="8" t="inlineStr">
        <is>
          <t>Preliminary (schematic) design</t>
        </is>
      </c>
      <c r="C490" s="8" t="n">
        <v>4</v>
      </c>
      <c r="D490" s="8" t="inlineStr">
        <is>
          <t>ENG.NQR</t>
        </is>
      </c>
    </row>
    <row r="491">
      <c r="A491" s="8" t="inlineStr">
        <is>
          <t>ENG.NQR.PRE.SUB</t>
        </is>
      </c>
      <c r="B491" s="8" t="inlineStr">
        <is>
          <t>Submittal</t>
        </is>
      </c>
      <c r="C491" s="8" t="n">
        <v>5</v>
      </c>
      <c r="D491" s="8" t="inlineStr">
        <is>
          <t>ENG.NQR.PRE</t>
        </is>
      </c>
    </row>
    <row r="492">
      <c r="A492" s="8" t="inlineStr">
        <is>
          <t>ENG.NQR.PRE.APR</t>
        </is>
      </c>
      <c r="B492" s="8" t="inlineStr">
        <is>
          <t>Approval</t>
        </is>
      </c>
      <c r="C492" s="8" t="n">
        <v>5</v>
      </c>
      <c r="D492" s="8" t="inlineStr">
        <is>
          <t>ENG.NQR.PRE</t>
        </is>
      </c>
    </row>
    <row r="493">
      <c r="A493" s="8" t="inlineStr">
        <is>
          <t>ENG.NQR.DET</t>
        </is>
      </c>
      <c r="B493" s="8" t="inlineStr">
        <is>
          <t>Detailed design</t>
        </is>
      </c>
      <c r="C493" s="8" t="n">
        <v>4</v>
      </c>
      <c r="D493" s="8" t="inlineStr">
        <is>
          <t>ENG.NQR</t>
        </is>
      </c>
    </row>
    <row r="494">
      <c r="A494" s="8" t="inlineStr">
        <is>
          <t>ENG.NQR.DET.SUB</t>
        </is>
      </c>
      <c r="B494" s="8" t="inlineStr">
        <is>
          <t>Submittal</t>
        </is>
      </c>
      <c r="C494" s="8" t="n">
        <v>5</v>
      </c>
      <c r="D494" s="8" t="inlineStr">
        <is>
          <t>ENG.NQR.DET</t>
        </is>
      </c>
    </row>
    <row r="495">
      <c r="A495" s="8" t="inlineStr">
        <is>
          <t>ENG.NQR.DET.APR</t>
        </is>
      </c>
      <c r="B495" s="8" t="inlineStr">
        <is>
          <t>Approval</t>
        </is>
      </c>
      <c r="C495" s="8" t="n">
        <v>5</v>
      </c>
      <c r="D495" s="8" t="inlineStr">
        <is>
          <t>ENG.NQR.DET</t>
        </is>
      </c>
    </row>
    <row r="496">
      <c r="A496" s="8" t="inlineStr">
        <is>
          <t>ENG.NQR.IFC</t>
        </is>
      </c>
      <c r="B496" s="8" t="inlineStr">
        <is>
          <t>IFC and shop drawings</t>
        </is>
      </c>
      <c r="C496" s="8" t="n">
        <v>4</v>
      </c>
      <c r="D496" s="8" t="inlineStr">
        <is>
          <t>ENG.NQR</t>
        </is>
      </c>
    </row>
    <row r="497">
      <c r="A497" s="8" t="inlineStr">
        <is>
          <t>ENG.NQR.IFC.SUB</t>
        </is>
      </c>
      <c r="B497" s="8" t="inlineStr">
        <is>
          <t>Submittal</t>
        </is>
      </c>
      <c r="C497" s="8" t="n">
        <v>5</v>
      </c>
      <c r="D497" s="8" t="inlineStr">
        <is>
          <t>ENG.NQR.IFC</t>
        </is>
      </c>
    </row>
    <row r="498">
      <c r="A498" s="8" t="inlineStr">
        <is>
          <t>ENG.NQR.IFC.APR</t>
        </is>
      </c>
      <c r="B498" s="8" t="inlineStr">
        <is>
          <t>Approval</t>
        </is>
      </c>
      <c r="C498" s="8" t="n">
        <v>5</v>
      </c>
      <c r="D498" s="8" t="inlineStr">
        <is>
          <t>ENG.NQR.IFC</t>
        </is>
      </c>
    </row>
    <row r="499">
      <c r="A499" s="8" t="inlineStr">
        <is>
          <t>ENG.NQR.HCS</t>
        </is>
      </c>
      <c r="B499" s="8" t="inlineStr">
        <is>
          <t>HCIS documentation (Stage 3 and 4)</t>
        </is>
      </c>
      <c r="C499" s="8" t="n">
        <v>4</v>
      </c>
      <c r="D499" s="8" t="inlineStr">
        <is>
          <t>ENG.NQR</t>
        </is>
      </c>
    </row>
    <row r="500">
      <c r="A500" s="8" t="inlineStr">
        <is>
          <t>ENG.NQR.HCS.SUB</t>
        </is>
      </c>
      <c r="B500" s="8" t="inlineStr">
        <is>
          <t>Submittal</t>
        </is>
      </c>
      <c r="C500" s="8" t="n">
        <v>5</v>
      </c>
      <c r="D500" s="8" t="inlineStr">
        <is>
          <t>ENG.NQR.HCS</t>
        </is>
      </c>
    </row>
    <row r="501">
      <c r="A501" s="8" t="inlineStr">
        <is>
          <t>ENG.NQR.HCS.APR</t>
        </is>
      </c>
      <c r="B501" s="8" t="inlineStr">
        <is>
          <t>Approval</t>
        </is>
      </c>
      <c r="C501" s="8" t="n">
        <v>5</v>
      </c>
      <c r="D501" s="8" t="inlineStr">
        <is>
          <t>ENG.NQR.HCS</t>
        </is>
      </c>
    </row>
    <row r="502">
      <c r="A502" s="8" t="inlineStr">
        <is>
          <t>ENG.NQR.ASB</t>
        </is>
      </c>
      <c r="B502" s="8" t="inlineStr">
        <is>
          <t>As-built and O&amp;M documentation</t>
        </is>
      </c>
      <c r="C502" s="8" t="n">
        <v>4</v>
      </c>
      <c r="D502" s="8" t="inlineStr">
        <is>
          <t>ENG.NQR</t>
        </is>
      </c>
    </row>
    <row r="503">
      <c r="A503" s="8" t="inlineStr">
        <is>
          <t>ENG.NQR.ASB.SUB</t>
        </is>
      </c>
      <c r="B503" s="8" t="inlineStr">
        <is>
          <t>Submittal</t>
        </is>
      </c>
      <c r="C503" s="8" t="n">
        <v>5</v>
      </c>
      <c r="D503" s="8" t="inlineStr">
        <is>
          <t>ENG.NQR.ASB</t>
        </is>
      </c>
    </row>
    <row r="504">
      <c r="A504" s="8" t="inlineStr">
        <is>
          <t>ENG.NQR.ASB.APR</t>
        </is>
      </c>
      <c r="B504" s="8" t="inlineStr">
        <is>
          <t>Approval</t>
        </is>
      </c>
      <c r="C504" s="8" t="n">
        <v>5</v>
      </c>
      <c r="D504" s="8" t="inlineStr">
        <is>
          <t>ENG.NQR.ASB</t>
        </is>
      </c>
    </row>
    <row r="505">
      <c r="A505" s="8" t="inlineStr">
        <is>
          <t>PRO.NQR.CCT</t>
        </is>
      </c>
      <c r="B505" s="8" t="inlineStr">
        <is>
          <t>CCTV system</t>
        </is>
      </c>
      <c r="C505" s="8" t="n">
        <v>4</v>
      </c>
      <c r="D505" s="8" t="inlineStr">
        <is>
          <t>PRO.NQR</t>
        </is>
      </c>
    </row>
    <row r="506">
      <c r="A506" s="8" t="inlineStr">
        <is>
          <t>PRO.NQR.VMS</t>
        </is>
      </c>
      <c r="B506" s="8" t="inlineStr">
        <is>
          <t>Video management and video wall</t>
        </is>
      </c>
      <c r="C506" s="8" t="n">
        <v>4</v>
      </c>
      <c r="D506" s="8" t="inlineStr">
        <is>
          <t>PRO.NQR</t>
        </is>
      </c>
    </row>
    <row r="507">
      <c r="A507" s="8" t="inlineStr">
        <is>
          <t>PRO.NQR.ACC</t>
        </is>
      </c>
      <c r="B507" s="8" t="inlineStr">
        <is>
          <t>Access control and intercom</t>
        </is>
      </c>
      <c r="C507" s="8" t="n">
        <v>4</v>
      </c>
      <c r="D507" s="8" t="inlineStr">
        <is>
          <t>PRO.NQR</t>
        </is>
      </c>
    </row>
    <row r="508">
      <c r="A508" s="8" t="inlineStr">
        <is>
          <t>PRO.NQR.UPN</t>
        </is>
      </c>
      <c r="B508" s="8" t="inlineStr">
        <is>
          <t>UPS, network and cabinets</t>
        </is>
      </c>
      <c r="C508" s="8" t="n">
        <v>4</v>
      </c>
      <c r="D508" s="8" t="inlineStr">
        <is>
          <t>PRO.NQR</t>
        </is>
      </c>
    </row>
    <row r="509">
      <c r="A509" s="8" t="inlineStr">
        <is>
          <t>PRO.NQR.LOG</t>
        </is>
      </c>
      <c r="B509" s="8" t="inlineStr">
        <is>
          <t>FAT and logistics</t>
        </is>
      </c>
      <c r="C509" s="8" t="n">
        <v>4</v>
      </c>
      <c r="D509" s="8" t="inlineStr">
        <is>
          <t>PRO.NQR</t>
        </is>
      </c>
    </row>
    <row r="510">
      <c r="A510" s="8" t="inlineStr">
        <is>
          <t>CON.NQR.ENA</t>
        </is>
      </c>
      <c r="B510" s="8" t="inlineStr">
        <is>
          <t>Enabling works</t>
        </is>
      </c>
      <c r="C510" s="8" t="n">
        <v>4</v>
      </c>
      <c r="D510" s="8" t="inlineStr">
        <is>
          <t>CON.NQR</t>
        </is>
      </c>
    </row>
    <row r="511">
      <c r="A511" s="8" t="inlineStr">
        <is>
          <t>CON.NQR.CIV</t>
        </is>
      </c>
      <c r="B511" s="8" t="inlineStr">
        <is>
          <t>Civil works</t>
        </is>
      </c>
      <c r="C511" s="8" t="n">
        <v>4</v>
      </c>
      <c r="D511" s="8" t="inlineStr">
        <is>
          <t>CON.NQR</t>
        </is>
      </c>
    </row>
    <row r="512">
      <c r="A512" s="8" t="inlineStr">
        <is>
          <t>CON.NQR.INS</t>
        </is>
      </c>
      <c r="B512" s="8" t="inlineStr">
        <is>
          <t>Installation</t>
        </is>
      </c>
      <c r="C512" s="8" t="n">
        <v>4</v>
      </c>
      <c r="D512" s="8" t="inlineStr">
        <is>
          <t>CON.NQR</t>
        </is>
      </c>
    </row>
    <row r="513">
      <c r="A513" s="8" t="inlineStr">
        <is>
          <t>COM.NQR.TST</t>
        </is>
      </c>
      <c r="B513" s="8" t="inlineStr">
        <is>
          <t>Testing and commissioning</t>
        </is>
      </c>
      <c r="C513" s="8" t="n">
        <v>4</v>
      </c>
      <c r="D513" s="8" t="inlineStr">
        <is>
          <t>COM.NQR</t>
        </is>
      </c>
    </row>
    <row r="514">
      <c r="A514" s="8" t="inlineStr">
        <is>
          <t>COM.NQR.TRN</t>
        </is>
      </c>
      <c r="B514" s="8" t="inlineStr">
        <is>
          <t>Training</t>
        </is>
      </c>
      <c r="C514" s="8" t="n">
        <v>4</v>
      </c>
      <c r="D514" s="8" t="inlineStr">
        <is>
          <t>COM.NQR</t>
        </is>
      </c>
    </row>
    <row r="515">
      <c r="A515" s="8" t="inlineStr">
        <is>
          <t>COM.NQR.TOA</t>
        </is>
      </c>
      <c r="B515" s="8" t="inlineStr">
        <is>
          <t>Trial operation and acceptance</t>
        </is>
      </c>
      <c r="C515" s="8" t="n">
        <v>4</v>
      </c>
      <c r="D515" s="8" t="inlineStr">
        <is>
          <t>COM.NQR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</cols>
  <sheetData>
    <row r="1" ht="32" customHeight="1">
      <c r="A1" s="7" t="inlineStr">
        <is>
          <t>Predecessor</t>
        </is>
      </c>
      <c r="B1" s="7" t="inlineStr">
        <is>
          <t>Successor</t>
        </is>
      </c>
      <c r="C1" s="7" t="inlineStr">
        <is>
          <t>Type</t>
        </is>
      </c>
      <c r="D1" s="7" t="inlineStr">
        <is>
          <t>Lag (work days)</t>
        </is>
      </c>
    </row>
    <row r="2">
      <c r="A2" s="8" t="inlineStr">
        <is>
          <t>PRJ-M0000</t>
        </is>
      </c>
      <c r="B2" s="8" t="inlineStr">
        <is>
          <t>PRJ-A1010</t>
        </is>
      </c>
      <c r="C2" s="8" t="inlineStr">
        <is>
          <t>FS</t>
        </is>
      </c>
      <c r="D2" s="8" t="n">
        <v>0</v>
      </c>
    </row>
    <row r="3">
      <c r="A3" s="8" t="inlineStr">
        <is>
          <t>PRJ-M0000</t>
        </is>
      </c>
      <c r="B3" s="8" t="inlineStr">
        <is>
          <t>PRJ-A1020</t>
        </is>
      </c>
      <c r="C3" s="8" t="inlineStr">
        <is>
          <t>FS</t>
        </is>
      </c>
      <c r="D3" s="8" t="n">
        <v>0</v>
      </c>
    </row>
    <row r="4">
      <c r="A4" s="8" t="inlineStr">
        <is>
          <t>PRJ-A1020</t>
        </is>
      </c>
      <c r="B4" s="8" t="inlineStr">
        <is>
          <t>PRJ-A1030</t>
        </is>
      </c>
      <c r="C4" s="8" t="inlineStr">
        <is>
          <t>FS</t>
        </is>
      </c>
      <c r="D4" s="8" t="n">
        <v>0</v>
      </c>
    </row>
    <row r="5">
      <c r="A5" s="8" t="inlineStr">
        <is>
          <t>PRJ-M0000</t>
        </is>
      </c>
      <c r="B5" s="8" t="inlineStr">
        <is>
          <t>PRJ-A1040</t>
        </is>
      </c>
      <c r="C5" s="8" t="inlineStr">
        <is>
          <t>FS</t>
        </is>
      </c>
      <c r="D5" s="8" t="n">
        <v>5</v>
      </c>
    </row>
    <row r="6">
      <c r="A6" s="8" t="inlineStr">
        <is>
          <t>PRJ-M0000</t>
        </is>
      </c>
      <c r="B6" s="8" t="inlineStr">
        <is>
          <t>PRJ-A1050</t>
        </is>
      </c>
      <c r="C6" s="8" t="inlineStr">
        <is>
          <t>FS</t>
        </is>
      </c>
      <c r="D6" s="8" t="n">
        <v>5</v>
      </c>
    </row>
    <row r="7">
      <c r="A7" s="8" t="inlineStr">
        <is>
          <t>PRJ-M0000</t>
        </is>
      </c>
      <c r="B7" s="8" t="inlineStr">
        <is>
          <t>PRJ-A1060</t>
        </is>
      </c>
      <c r="C7" s="8" t="inlineStr">
        <is>
          <t>FS</t>
        </is>
      </c>
      <c r="D7" s="8" t="n">
        <v>0</v>
      </c>
    </row>
    <row r="8">
      <c r="A8" s="8" t="inlineStr">
        <is>
          <t>PRJ-A1010</t>
        </is>
      </c>
      <c r="B8" s="8" t="inlineStr">
        <is>
          <t>PRJ-M1100</t>
        </is>
      </c>
      <c r="C8" s="8" t="inlineStr">
        <is>
          <t>FS</t>
        </is>
      </c>
      <c r="D8" s="8" t="n">
        <v>0</v>
      </c>
    </row>
    <row r="9">
      <c r="A9" s="8" t="inlineStr">
        <is>
          <t>PRJ-A1030</t>
        </is>
      </c>
      <c r="B9" s="8" t="inlineStr">
        <is>
          <t>PRJ-M1100</t>
        </is>
      </c>
      <c r="C9" s="8" t="inlineStr">
        <is>
          <t>FS</t>
        </is>
      </c>
      <c r="D9" s="8" t="n">
        <v>0</v>
      </c>
    </row>
    <row r="10">
      <c r="A10" s="8" t="inlineStr">
        <is>
          <t>PRJ-A1040</t>
        </is>
      </c>
      <c r="B10" s="8" t="inlineStr">
        <is>
          <t>PRJ-M1100</t>
        </is>
      </c>
      <c r="C10" s="8" t="inlineStr">
        <is>
          <t>FS</t>
        </is>
      </c>
      <c r="D10" s="8" t="n">
        <v>0</v>
      </c>
    </row>
    <row r="11">
      <c r="A11" s="8" t="inlineStr">
        <is>
          <t>PRJ-A1050</t>
        </is>
      </c>
      <c r="B11" s="8" t="inlineStr">
        <is>
          <t>PRJ-M1100</t>
        </is>
      </c>
      <c r="C11" s="8" t="inlineStr">
        <is>
          <t>FS</t>
        </is>
      </c>
      <c r="D11" s="8" t="n">
        <v>0</v>
      </c>
    </row>
    <row r="12">
      <c r="A12" s="8" t="inlineStr">
        <is>
          <t>PRJ-M1100</t>
        </is>
      </c>
      <c r="B12" s="8" t="inlineStr">
        <is>
          <t>PRJ-M1150</t>
        </is>
      </c>
      <c r="C12" s="8" t="inlineStr">
        <is>
          <t>FS</t>
        </is>
      </c>
      <c r="D12" s="8" t="n">
        <v>0</v>
      </c>
    </row>
    <row r="13">
      <c r="A13" s="8" t="inlineStr">
        <is>
          <t>PRJ-M0000</t>
        </is>
      </c>
      <c r="B13" s="8" t="inlineStr">
        <is>
          <t>PRJ-M1150</t>
        </is>
      </c>
      <c r="C13" s="8" t="inlineStr">
        <is>
          <t>FS</t>
        </is>
      </c>
      <c r="D13" s="8" t="n">
        <v>45</v>
      </c>
    </row>
    <row r="14">
      <c r="A14" s="8" t="inlineStr">
        <is>
          <t>PRJ-A1060</t>
        </is>
      </c>
      <c r="B14" s="8" t="inlineStr">
        <is>
          <t>PRJ-M1150</t>
        </is>
      </c>
      <c r="C14" s="8" t="inlineStr">
        <is>
          <t>FS</t>
        </is>
      </c>
      <c r="D14" s="8" t="n">
        <v>0</v>
      </c>
    </row>
    <row r="15">
      <c r="A15" s="8" t="inlineStr">
        <is>
          <t>PRJ-M1150</t>
        </is>
      </c>
      <c r="B15" s="8" t="inlineStr">
        <is>
          <t>PRJ-A2010</t>
        </is>
      </c>
      <c r="C15" s="8" t="inlineStr">
        <is>
          <t>FS</t>
        </is>
      </c>
      <c r="D15" s="8" t="n">
        <v>0</v>
      </c>
    </row>
    <row r="16">
      <c r="A16" s="8" t="inlineStr">
        <is>
          <t>PRJ-A2010</t>
        </is>
      </c>
      <c r="B16" s="8" t="inlineStr">
        <is>
          <t>PRJ-A2020</t>
        </is>
      </c>
      <c r="C16" s="8" t="inlineStr">
        <is>
          <t>FS</t>
        </is>
      </c>
      <c r="D16" s="8" t="n">
        <v>0</v>
      </c>
    </row>
    <row r="17">
      <c r="A17" s="8" t="inlineStr">
        <is>
          <t>PRJ-A2020</t>
        </is>
      </c>
      <c r="B17" s="8" t="inlineStr">
        <is>
          <t>PRJ-M2100</t>
        </is>
      </c>
      <c r="C17" s="8" t="inlineStr">
        <is>
          <t>FS</t>
        </is>
      </c>
      <c r="D17" s="8" t="n">
        <v>0</v>
      </c>
    </row>
    <row r="18">
      <c r="A18" s="8" t="inlineStr">
        <is>
          <t>PRJ-A1060</t>
        </is>
      </c>
      <c r="B18" s="8" t="inlineStr">
        <is>
          <t>NRY-E1010</t>
        </is>
      </c>
      <c r="C18" s="8" t="inlineStr">
        <is>
          <t>FS</t>
        </is>
      </c>
      <c r="D18" s="8" t="n">
        <v>0</v>
      </c>
    </row>
    <row r="19">
      <c r="A19" s="8" t="inlineStr">
        <is>
          <t>PRJ-M1150</t>
        </is>
      </c>
      <c r="B19" s="8" t="inlineStr">
        <is>
          <t>NRY-E1010</t>
        </is>
      </c>
      <c r="C19" s="8" t="inlineStr">
        <is>
          <t>FS</t>
        </is>
      </c>
      <c r="D19" s="8" t="n">
        <v>0</v>
      </c>
    </row>
    <row r="20">
      <c r="A20" s="8" t="inlineStr">
        <is>
          <t>NRY-E1010</t>
        </is>
      </c>
      <c r="B20" s="8" t="inlineStr">
        <is>
          <t>NRY-E1030</t>
        </is>
      </c>
      <c r="C20" s="8" t="inlineStr">
        <is>
          <t>FS</t>
        </is>
      </c>
      <c r="D20" s="8" t="n">
        <v>0</v>
      </c>
    </row>
    <row r="21">
      <c r="A21" s="8" t="inlineStr">
        <is>
          <t>NRY-E1030</t>
        </is>
      </c>
      <c r="B21" s="8" t="inlineStr">
        <is>
          <t>NRY-E1050</t>
        </is>
      </c>
      <c r="C21" s="8" t="inlineStr">
        <is>
          <t>FS</t>
        </is>
      </c>
      <c r="D21" s="8" t="n">
        <v>0</v>
      </c>
    </row>
    <row r="22">
      <c r="A22" s="8" t="inlineStr">
        <is>
          <t>NRY-E1050</t>
        </is>
      </c>
      <c r="B22" s="8" t="inlineStr">
        <is>
          <t>NRY-E1070</t>
        </is>
      </c>
      <c r="C22" s="8" t="inlineStr">
        <is>
          <t>FS</t>
        </is>
      </c>
      <c r="D22" s="8" t="n">
        <v>0</v>
      </c>
    </row>
    <row r="23">
      <c r="A23" s="8" t="inlineStr">
        <is>
          <t>NRY-E1070</t>
        </is>
      </c>
      <c r="B23" s="8" t="inlineStr">
        <is>
          <t>NRY-E1090</t>
        </is>
      </c>
      <c r="C23" s="8" t="inlineStr">
        <is>
          <t>FS</t>
        </is>
      </c>
      <c r="D23" s="8" t="n">
        <v>0</v>
      </c>
    </row>
    <row r="24">
      <c r="A24" s="8" t="inlineStr">
        <is>
          <t>NRY-E1090</t>
        </is>
      </c>
      <c r="B24" s="8" t="inlineStr">
        <is>
          <t>NRY-E1100</t>
        </is>
      </c>
      <c r="C24" s="8" t="inlineStr">
        <is>
          <t>FS</t>
        </is>
      </c>
      <c r="D24" s="8" t="n">
        <v>0</v>
      </c>
    </row>
    <row r="25">
      <c r="A25" s="8" t="inlineStr">
        <is>
          <t>NRY-E1050</t>
        </is>
      </c>
      <c r="B25" s="8" t="inlineStr">
        <is>
          <t>NRY-E1110</t>
        </is>
      </c>
      <c r="C25" s="8" t="inlineStr">
        <is>
          <t>FS</t>
        </is>
      </c>
      <c r="D25" s="8" t="n">
        <v>8</v>
      </c>
    </row>
    <row r="26">
      <c r="A26" s="8" t="inlineStr">
        <is>
          <t>NRY-E1090</t>
        </is>
      </c>
      <c r="B26" s="8" t="inlineStr">
        <is>
          <t>NRY-E1110</t>
        </is>
      </c>
      <c r="C26" s="8" t="inlineStr">
        <is>
          <t>FF</t>
        </is>
      </c>
      <c r="D26" s="8" t="n">
        <v>0</v>
      </c>
    </row>
    <row r="27">
      <c r="A27" s="8" t="inlineStr">
        <is>
          <t>NRY-E1110</t>
        </is>
      </c>
      <c r="B27" s="8" t="inlineStr">
        <is>
          <t>NRY-E1120</t>
        </is>
      </c>
      <c r="C27" s="8" t="inlineStr">
        <is>
          <t>FS</t>
        </is>
      </c>
      <c r="D27" s="8" t="n">
        <v>0</v>
      </c>
    </row>
    <row r="28">
      <c r="A28" s="8" t="inlineStr">
        <is>
          <t>PRJ-A1060</t>
        </is>
      </c>
      <c r="B28" s="8" t="inlineStr">
        <is>
          <t>HMK-E1010</t>
        </is>
      </c>
      <c r="C28" s="8" t="inlineStr">
        <is>
          <t>FS</t>
        </is>
      </c>
      <c r="D28" s="8" t="n">
        <v>0</v>
      </c>
    </row>
    <row r="29">
      <c r="A29" s="8" t="inlineStr">
        <is>
          <t>PRJ-M1150</t>
        </is>
      </c>
      <c r="B29" s="8" t="inlineStr">
        <is>
          <t>HMK-E1010</t>
        </is>
      </c>
      <c r="C29" s="8" t="inlineStr">
        <is>
          <t>FS</t>
        </is>
      </c>
      <c r="D29" s="8" t="n">
        <v>0</v>
      </c>
    </row>
    <row r="30">
      <c r="A30" s="8" t="inlineStr">
        <is>
          <t>HMK-E1010</t>
        </is>
      </c>
      <c r="B30" s="8" t="inlineStr">
        <is>
          <t>HMK-E1030</t>
        </is>
      </c>
      <c r="C30" s="8" t="inlineStr">
        <is>
          <t>FS</t>
        </is>
      </c>
      <c r="D30" s="8" t="n">
        <v>0</v>
      </c>
    </row>
    <row r="31">
      <c r="A31" s="8" t="inlineStr">
        <is>
          <t>HMK-E1030</t>
        </is>
      </c>
      <c r="B31" s="8" t="inlineStr">
        <is>
          <t>HMK-E1050</t>
        </is>
      </c>
      <c r="C31" s="8" t="inlineStr">
        <is>
          <t>FS</t>
        </is>
      </c>
      <c r="D31" s="8" t="n">
        <v>0</v>
      </c>
    </row>
    <row r="32">
      <c r="A32" s="8" t="inlineStr">
        <is>
          <t>HMK-E1050</t>
        </is>
      </c>
      <c r="B32" s="8" t="inlineStr">
        <is>
          <t>HMK-E1070</t>
        </is>
      </c>
      <c r="C32" s="8" t="inlineStr">
        <is>
          <t>FS</t>
        </is>
      </c>
      <c r="D32" s="8" t="n">
        <v>0</v>
      </c>
    </row>
    <row r="33">
      <c r="A33" s="8" t="inlineStr">
        <is>
          <t>HMK-E1070</t>
        </is>
      </c>
      <c r="B33" s="8" t="inlineStr">
        <is>
          <t>HMK-E1090</t>
        </is>
      </c>
      <c r="C33" s="8" t="inlineStr">
        <is>
          <t>FS</t>
        </is>
      </c>
      <c r="D33" s="8" t="n">
        <v>0</v>
      </c>
    </row>
    <row r="34">
      <c r="A34" s="8" t="inlineStr">
        <is>
          <t>HMK-E1090</t>
        </is>
      </c>
      <c r="B34" s="8" t="inlineStr">
        <is>
          <t>HMK-E1100</t>
        </is>
      </c>
      <c r="C34" s="8" t="inlineStr">
        <is>
          <t>FS</t>
        </is>
      </c>
      <c r="D34" s="8" t="n">
        <v>0</v>
      </c>
    </row>
    <row r="35">
      <c r="A35" s="8" t="inlineStr">
        <is>
          <t>HMK-E1050</t>
        </is>
      </c>
      <c r="B35" s="8" t="inlineStr">
        <is>
          <t>HMK-E1110</t>
        </is>
      </c>
      <c r="C35" s="8" t="inlineStr">
        <is>
          <t>FS</t>
        </is>
      </c>
      <c r="D35" s="8" t="n">
        <v>6</v>
      </c>
    </row>
    <row r="36">
      <c r="A36" s="8" t="inlineStr">
        <is>
          <t>HMK-E1090</t>
        </is>
      </c>
      <c r="B36" s="8" t="inlineStr">
        <is>
          <t>HMK-E1110</t>
        </is>
      </c>
      <c r="C36" s="8" t="inlineStr">
        <is>
          <t>FF</t>
        </is>
      </c>
      <c r="D36" s="8" t="n">
        <v>0</v>
      </c>
    </row>
    <row r="37">
      <c r="A37" s="8" t="inlineStr">
        <is>
          <t>HMK-E1110</t>
        </is>
      </c>
      <c r="B37" s="8" t="inlineStr">
        <is>
          <t>HMK-E1120</t>
        </is>
      </c>
      <c r="C37" s="8" t="inlineStr">
        <is>
          <t>FS</t>
        </is>
      </c>
      <c r="D37" s="8" t="n">
        <v>0</v>
      </c>
    </row>
    <row r="38">
      <c r="A38" s="8" t="inlineStr">
        <is>
          <t>PRJ-A1060</t>
        </is>
      </c>
      <c r="B38" s="8" t="inlineStr">
        <is>
          <t>ERY-E1010</t>
        </is>
      </c>
      <c r="C38" s="8" t="inlineStr">
        <is>
          <t>FS</t>
        </is>
      </c>
      <c r="D38" s="8" t="n">
        <v>0</v>
      </c>
    </row>
    <row r="39">
      <c r="A39" s="8" t="inlineStr">
        <is>
          <t>PRJ-M1150</t>
        </is>
      </c>
      <c r="B39" s="8" t="inlineStr">
        <is>
          <t>ERY-E1010</t>
        </is>
      </c>
      <c r="C39" s="8" t="inlineStr">
        <is>
          <t>FS</t>
        </is>
      </c>
      <c r="D39" s="8" t="n">
        <v>0</v>
      </c>
    </row>
    <row r="40">
      <c r="A40" s="8" t="inlineStr">
        <is>
          <t>ERY-E1010</t>
        </is>
      </c>
      <c r="B40" s="8" t="inlineStr">
        <is>
          <t>ERY-E1030</t>
        </is>
      </c>
      <c r="C40" s="8" t="inlineStr">
        <is>
          <t>FS</t>
        </is>
      </c>
      <c r="D40" s="8" t="n">
        <v>0</v>
      </c>
    </row>
    <row r="41">
      <c r="A41" s="8" t="inlineStr">
        <is>
          <t>ERY-E1030</t>
        </is>
      </c>
      <c r="B41" s="8" t="inlineStr">
        <is>
          <t>ERY-E1050</t>
        </is>
      </c>
      <c r="C41" s="8" t="inlineStr">
        <is>
          <t>FS</t>
        </is>
      </c>
      <c r="D41" s="8" t="n">
        <v>0</v>
      </c>
    </row>
    <row r="42">
      <c r="A42" s="8" t="inlineStr">
        <is>
          <t>ERY-E1050</t>
        </is>
      </c>
      <c r="B42" s="8" t="inlineStr">
        <is>
          <t>ERY-E1070</t>
        </is>
      </c>
      <c r="C42" s="8" t="inlineStr">
        <is>
          <t>FS</t>
        </is>
      </c>
      <c r="D42" s="8" t="n">
        <v>0</v>
      </c>
    </row>
    <row r="43">
      <c r="A43" s="8" t="inlineStr">
        <is>
          <t>ERY-E1070</t>
        </is>
      </c>
      <c r="B43" s="8" t="inlineStr">
        <is>
          <t>ERY-E1090</t>
        </is>
      </c>
      <c r="C43" s="8" t="inlineStr">
        <is>
          <t>FS</t>
        </is>
      </c>
      <c r="D43" s="8" t="n">
        <v>0</v>
      </c>
    </row>
    <row r="44">
      <c r="A44" s="8" t="inlineStr">
        <is>
          <t>ERY-E1090</t>
        </is>
      </c>
      <c r="B44" s="8" t="inlineStr">
        <is>
          <t>ERY-E1100</t>
        </is>
      </c>
      <c r="C44" s="8" t="inlineStr">
        <is>
          <t>FS</t>
        </is>
      </c>
      <c r="D44" s="8" t="n">
        <v>0</v>
      </c>
    </row>
    <row r="45">
      <c r="A45" s="8" t="inlineStr">
        <is>
          <t>ERY-E1050</t>
        </is>
      </c>
      <c r="B45" s="8" t="inlineStr">
        <is>
          <t>ERY-E1110</t>
        </is>
      </c>
      <c r="C45" s="8" t="inlineStr">
        <is>
          <t>FS</t>
        </is>
      </c>
      <c r="D45" s="8" t="n">
        <v>8</v>
      </c>
    </row>
    <row r="46">
      <c r="A46" s="8" t="inlineStr">
        <is>
          <t>ERY-E1090</t>
        </is>
      </c>
      <c r="B46" s="8" t="inlineStr">
        <is>
          <t>ERY-E1110</t>
        </is>
      </c>
      <c r="C46" s="8" t="inlineStr">
        <is>
          <t>FF</t>
        </is>
      </c>
      <c r="D46" s="8" t="n">
        <v>0</v>
      </c>
    </row>
    <row r="47">
      <c r="A47" s="8" t="inlineStr">
        <is>
          <t>ERY-E1110</t>
        </is>
      </c>
      <c r="B47" s="8" t="inlineStr">
        <is>
          <t>ERY-E1120</t>
        </is>
      </c>
      <c r="C47" s="8" t="inlineStr">
        <is>
          <t>FS</t>
        </is>
      </c>
      <c r="D47" s="8" t="n">
        <v>0</v>
      </c>
    </row>
    <row r="48">
      <c r="A48" s="8" t="inlineStr">
        <is>
          <t>NRY-E1100</t>
        </is>
      </c>
      <c r="B48" s="8" t="inlineStr">
        <is>
          <t>PRJ-M1250</t>
        </is>
      </c>
      <c r="C48" s="8" t="inlineStr">
        <is>
          <t>FS</t>
        </is>
      </c>
      <c r="D48" s="8" t="n">
        <v>0</v>
      </c>
    </row>
    <row r="49">
      <c r="A49" s="8" t="inlineStr">
        <is>
          <t>NRY-E1120</t>
        </is>
      </c>
      <c r="B49" s="8" t="inlineStr">
        <is>
          <t>PRJ-M1250</t>
        </is>
      </c>
      <c r="C49" s="8" t="inlineStr">
        <is>
          <t>FS</t>
        </is>
      </c>
      <c r="D49" s="8" t="n">
        <v>0</v>
      </c>
    </row>
    <row r="50">
      <c r="A50" s="8" t="inlineStr">
        <is>
          <t>HMK-E1100</t>
        </is>
      </c>
      <c r="B50" s="8" t="inlineStr">
        <is>
          <t>PRJ-M1250</t>
        </is>
      </c>
      <c r="C50" s="8" t="inlineStr">
        <is>
          <t>FS</t>
        </is>
      </c>
      <c r="D50" s="8" t="n">
        <v>0</v>
      </c>
    </row>
    <row r="51">
      <c r="A51" s="8" t="inlineStr">
        <is>
          <t>HMK-E1120</t>
        </is>
      </c>
      <c r="B51" s="8" t="inlineStr">
        <is>
          <t>PRJ-M1250</t>
        </is>
      </c>
      <c r="C51" s="8" t="inlineStr">
        <is>
          <t>FS</t>
        </is>
      </c>
      <c r="D51" s="8" t="n">
        <v>0</v>
      </c>
    </row>
    <row r="52">
      <c r="A52" s="8" t="inlineStr">
        <is>
          <t>ERY-E1100</t>
        </is>
      </c>
      <c r="B52" s="8" t="inlineStr">
        <is>
          <t>PRJ-M1250</t>
        </is>
      </c>
      <c r="C52" s="8" t="inlineStr">
        <is>
          <t>FS</t>
        </is>
      </c>
      <c r="D52" s="8" t="n">
        <v>0</v>
      </c>
    </row>
    <row r="53">
      <c r="A53" s="8" t="inlineStr">
        <is>
          <t>ERY-E1120</t>
        </is>
      </c>
      <c r="B53" s="8" t="inlineStr">
        <is>
          <t>PRJ-M1250</t>
        </is>
      </c>
      <c r="C53" s="8" t="inlineStr">
        <is>
          <t>FS</t>
        </is>
      </c>
      <c r="D53" s="8" t="n">
        <v>0</v>
      </c>
    </row>
    <row r="54">
      <c r="A54" s="8" t="inlineStr">
        <is>
          <t>NRY-E1010</t>
        </is>
      </c>
      <c r="B54" s="8" t="inlineStr">
        <is>
          <t>NRY-E1020</t>
        </is>
      </c>
      <c r="C54" s="8" t="inlineStr">
        <is>
          <t>FS</t>
        </is>
      </c>
      <c r="D54" s="8" t="n">
        <v>0</v>
      </c>
    </row>
    <row r="55">
      <c r="A55" s="8" t="inlineStr">
        <is>
          <t>NRY-E1030</t>
        </is>
      </c>
      <c r="B55" s="8" t="inlineStr">
        <is>
          <t>NRY-E1040</t>
        </is>
      </c>
      <c r="C55" s="8" t="inlineStr">
        <is>
          <t>FS</t>
        </is>
      </c>
      <c r="D55" s="8" t="n">
        <v>0</v>
      </c>
    </row>
    <row r="56">
      <c r="A56" s="8" t="inlineStr">
        <is>
          <t>NRY-E1050</t>
        </is>
      </c>
      <c r="B56" s="8" t="inlineStr">
        <is>
          <t>NRY-E1060</t>
        </is>
      </c>
      <c r="C56" s="8" t="inlineStr">
        <is>
          <t>FS</t>
        </is>
      </c>
      <c r="D56" s="8" t="n">
        <v>0</v>
      </c>
    </row>
    <row r="57">
      <c r="A57" s="8" t="inlineStr">
        <is>
          <t>NRY-E1070</t>
        </is>
      </c>
      <c r="B57" s="8" t="inlineStr">
        <is>
          <t>NRY-E1080</t>
        </is>
      </c>
      <c r="C57" s="8" t="inlineStr">
        <is>
          <t>FS</t>
        </is>
      </c>
      <c r="D57" s="8" t="n">
        <v>0</v>
      </c>
    </row>
    <row r="58">
      <c r="A58" s="8" t="inlineStr">
        <is>
          <t>NRY-E1090</t>
        </is>
      </c>
      <c r="B58" s="8" t="inlineStr">
        <is>
          <t>NRY-E1200</t>
        </is>
      </c>
      <c r="C58" s="8" t="inlineStr">
        <is>
          <t>FS</t>
        </is>
      </c>
      <c r="D58" s="8" t="n">
        <v>0</v>
      </c>
    </row>
    <row r="59">
      <c r="A59" s="8" t="inlineStr">
        <is>
          <t>NRY-E1110</t>
        </is>
      </c>
      <c r="B59" s="8" t="inlineStr">
        <is>
          <t>NRY-E1200</t>
        </is>
      </c>
      <c r="C59" s="8" t="inlineStr">
        <is>
          <t>FS</t>
        </is>
      </c>
      <c r="D59" s="8" t="n">
        <v>0</v>
      </c>
    </row>
    <row r="60">
      <c r="A60" s="8" t="inlineStr">
        <is>
          <t>NRY-E1020</t>
        </is>
      </c>
      <c r="B60" s="8" t="inlineStr">
        <is>
          <t>NRY-E1210</t>
        </is>
      </c>
      <c r="C60" s="8" t="inlineStr">
        <is>
          <t>FS</t>
        </is>
      </c>
      <c r="D60" s="8" t="n">
        <v>0</v>
      </c>
    </row>
    <row r="61">
      <c r="A61" s="8" t="inlineStr">
        <is>
          <t>NRY-E1040</t>
        </is>
      </c>
      <c r="B61" s="8" t="inlineStr">
        <is>
          <t>NRY-E1210</t>
        </is>
      </c>
      <c r="C61" s="8" t="inlineStr">
        <is>
          <t>FS</t>
        </is>
      </c>
      <c r="D61" s="8" t="n">
        <v>0</v>
      </c>
    </row>
    <row r="62">
      <c r="A62" s="8" t="inlineStr">
        <is>
          <t>NRY-E1060</t>
        </is>
      </c>
      <c r="B62" s="8" t="inlineStr">
        <is>
          <t>NRY-E1210</t>
        </is>
      </c>
      <c r="C62" s="8" t="inlineStr">
        <is>
          <t>FS</t>
        </is>
      </c>
      <c r="D62" s="8" t="n">
        <v>0</v>
      </c>
    </row>
    <row r="63">
      <c r="A63" s="8" t="inlineStr">
        <is>
          <t>NRY-E1080</t>
        </is>
      </c>
      <c r="B63" s="8" t="inlineStr">
        <is>
          <t>NRY-E1210</t>
        </is>
      </c>
      <c r="C63" s="8" t="inlineStr">
        <is>
          <t>FS</t>
        </is>
      </c>
      <c r="D63" s="8" t="n">
        <v>0</v>
      </c>
    </row>
    <row r="64">
      <c r="A64" s="8" t="inlineStr">
        <is>
          <t>NRY-E1100</t>
        </is>
      </c>
      <c r="B64" s="8" t="inlineStr">
        <is>
          <t>NRY-E1210</t>
        </is>
      </c>
      <c r="C64" s="8" t="inlineStr">
        <is>
          <t>FS</t>
        </is>
      </c>
      <c r="D64" s="8" t="n">
        <v>0</v>
      </c>
    </row>
    <row r="65">
      <c r="A65" s="8" t="inlineStr">
        <is>
          <t>NRY-E1120</t>
        </is>
      </c>
      <c r="B65" s="8" t="inlineStr">
        <is>
          <t>NRY-E1210</t>
        </is>
      </c>
      <c r="C65" s="8" t="inlineStr">
        <is>
          <t>FS</t>
        </is>
      </c>
      <c r="D65" s="8" t="n">
        <v>0</v>
      </c>
    </row>
    <row r="66">
      <c r="A66" s="8" t="inlineStr">
        <is>
          <t>NRY-E1200</t>
        </is>
      </c>
      <c r="B66" s="8" t="inlineStr">
        <is>
          <t>NRY-E1210</t>
        </is>
      </c>
      <c r="C66" s="8" t="inlineStr">
        <is>
          <t>FS</t>
        </is>
      </c>
      <c r="D66" s="8" t="n">
        <v>0</v>
      </c>
    </row>
    <row r="67">
      <c r="A67" s="8" t="inlineStr">
        <is>
          <t>NRY-E1210</t>
        </is>
      </c>
      <c r="B67" s="8" t="inlineStr">
        <is>
          <t>NRY-P1010</t>
        </is>
      </c>
      <c r="C67" s="8" t="inlineStr">
        <is>
          <t>FS</t>
        </is>
      </c>
      <c r="D67" s="8" t="n">
        <v>0</v>
      </c>
    </row>
    <row r="68">
      <c r="A68" s="8" t="inlineStr">
        <is>
          <t>NRY-E1210</t>
        </is>
      </c>
      <c r="B68" s="8" t="inlineStr">
        <is>
          <t>NRY-P1020</t>
        </is>
      </c>
      <c r="C68" s="8" t="inlineStr">
        <is>
          <t>FS</t>
        </is>
      </c>
      <c r="D68" s="8" t="n">
        <v>0</v>
      </c>
    </row>
    <row r="69">
      <c r="A69" s="8" t="inlineStr">
        <is>
          <t>NRY-E1210</t>
        </is>
      </c>
      <c r="B69" s="8" t="inlineStr">
        <is>
          <t>NRY-P1030</t>
        </is>
      </c>
      <c r="C69" s="8" t="inlineStr">
        <is>
          <t>FS</t>
        </is>
      </c>
      <c r="D69" s="8" t="n">
        <v>0</v>
      </c>
    </row>
    <row r="70">
      <c r="A70" s="8" t="inlineStr">
        <is>
          <t>NRY-E1210</t>
        </is>
      </c>
      <c r="B70" s="8" t="inlineStr">
        <is>
          <t>NRY-P1040</t>
        </is>
      </c>
      <c r="C70" s="8" t="inlineStr">
        <is>
          <t>FS</t>
        </is>
      </c>
      <c r="D70" s="8" t="n">
        <v>0</v>
      </c>
    </row>
    <row r="71">
      <c r="A71" s="8" t="inlineStr">
        <is>
          <t>NRY-P1010</t>
        </is>
      </c>
      <c r="B71" s="8" t="inlineStr">
        <is>
          <t>NRY-P1050</t>
        </is>
      </c>
      <c r="C71" s="8" t="inlineStr">
        <is>
          <t>FS</t>
        </is>
      </c>
      <c r="D71" s="8" t="n">
        <v>0</v>
      </c>
    </row>
    <row r="72">
      <c r="A72" s="8" t="inlineStr">
        <is>
          <t>NRY-P1020</t>
        </is>
      </c>
      <c r="B72" s="8" t="inlineStr">
        <is>
          <t>NRY-P1050</t>
        </is>
      </c>
      <c r="C72" s="8" t="inlineStr">
        <is>
          <t>FS</t>
        </is>
      </c>
      <c r="D72" s="8" t="n">
        <v>0</v>
      </c>
    </row>
    <row r="73">
      <c r="A73" s="8" t="inlineStr">
        <is>
          <t>NRY-P1030</t>
        </is>
      </c>
      <c r="B73" s="8" t="inlineStr">
        <is>
          <t>NRY-P1050</t>
        </is>
      </c>
      <c r="C73" s="8" t="inlineStr">
        <is>
          <t>FS</t>
        </is>
      </c>
      <c r="D73" s="8" t="n">
        <v>0</v>
      </c>
    </row>
    <row r="74">
      <c r="A74" s="8" t="inlineStr">
        <is>
          <t>NRY-P1040</t>
        </is>
      </c>
      <c r="B74" s="8" t="inlineStr">
        <is>
          <t>NRY-P1050</t>
        </is>
      </c>
      <c r="C74" s="8" t="inlineStr">
        <is>
          <t>FS</t>
        </is>
      </c>
      <c r="D74" s="8" t="n">
        <v>0</v>
      </c>
    </row>
    <row r="75">
      <c r="A75" s="8" t="inlineStr">
        <is>
          <t>NRY-P1050</t>
        </is>
      </c>
      <c r="B75" s="8" t="inlineStr">
        <is>
          <t>NRY-P1060</t>
        </is>
      </c>
      <c r="C75" s="8" t="inlineStr">
        <is>
          <t>FS</t>
        </is>
      </c>
      <c r="D75" s="8" t="n">
        <v>0</v>
      </c>
    </row>
    <row r="76">
      <c r="A76" s="8" t="inlineStr">
        <is>
          <t>NRY-P1060</t>
        </is>
      </c>
      <c r="B76" s="8" t="inlineStr">
        <is>
          <t>NRY-P1070</t>
        </is>
      </c>
      <c r="C76" s="8" t="inlineStr">
        <is>
          <t>FS</t>
        </is>
      </c>
      <c r="D76" s="8" t="n">
        <v>0</v>
      </c>
    </row>
    <row r="77">
      <c r="A77" s="8" t="inlineStr">
        <is>
          <t>NRY-P1070</t>
        </is>
      </c>
      <c r="B77" s="8" t="inlineStr">
        <is>
          <t>NRY-P1100</t>
        </is>
      </c>
      <c r="C77" s="8" t="inlineStr">
        <is>
          <t>FS</t>
        </is>
      </c>
      <c r="D77" s="8" t="n">
        <v>0</v>
      </c>
    </row>
    <row r="78">
      <c r="A78" s="8" t="inlineStr">
        <is>
          <t>NRY-P1100</t>
        </is>
      </c>
      <c r="B78" s="8" t="inlineStr">
        <is>
          <t>NRY-C2010</t>
        </is>
      </c>
      <c r="C78" s="8" t="inlineStr">
        <is>
          <t>FS</t>
        </is>
      </c>
      <c r="D78" s="8" t="n">
        <v>0</v>
      </c>
    </row>
    <row r="79">
      <c r="A79" s="8" t="inlineStr">
        <is>
          <t>NRY-E1120</t>
        </is>
      </c>
      <c r="B79" s="8" t="inlineStr">
        <is>
          <t>NRY-X1010</t>
        </is>
      </c>
      <c r="C79" s="8" t="inlineStr">
        <is>
          <t>FS</t>
        </is>
      </c>
      <c r="D79" s="8" t="n">
        <v>0</v>
      </c>
    </row>
    <row r="80">
      <c r="A80" s="8" t="inlineStr">
        <is>
          <t>NRY-X1010</t>
        </is>
      </c>
      <c r="B80" s="8" t="inlineStr">
        <is>
          <t>NRY-X1020</t>
        </is>
      </c>
      <c r="C80" s="8" t="inlineStr">
        <is>
          <t>FS</t>
        </is>
      </c>
      <c r="D80" s="8" t="n">
        <v>0</v>
      </c>
    </row>
    <row r="81">
      <c r="A81" s="8" t="inlineStr">
        <is>
          <t>NRY-X1020</t>
        </is>
      </c>
      <c r="B81" s="8" t="inlineStr">
        <is>
          <t>NRY-C1010</t>
        </is>
      </c>
      <c r="C81" s="8" t="inlineStr">
        <is>
          <t>FS</t>
        </is>
      </c>
      <c r="D81" s="8" t="n">
        <v>0</v>
      </c>
    </row>
    <row r="82">
      <c r="A82" s="8" t="inlineStr">
        <is>
          <t>NRY-C2010</t>
        </is>
      </c>
      <c r="B82" s="8" t="inlineStr">
        <is>
          <t>NRY-C2020</t>
        </is>
      </c>
      <c r="C82" s="8" t="inlineStr">
        <is>
          <t>SS</t>
        </is>
      </c>
      <c r="D82" s="8" t="n">
        <v>4</v>
      </c>
    </row>
    <row r="83">
      <c r="A83" s="8" t="inlineStr">
        <is>
          <t>NRY-C1010</t>
        </is>
      </c>
      <c r="B83" s="8" t="inlineStr">
        <is>
          <t>NRY-C2020</t>
        </is>
      </c>
      <c r="C83" s="8" t="inlineStr">
        <is>
          <t>SS</t>
        </is>
      </c>
      <c r="D83" s="8" t="n">
        <v>41</v>
      </c>
    </row>
    <row r="84">
      <c r="A84" s="8" t="inlineStr">
        <is>
          <t>NRY-C1010</t>
        </is>
      </c>
      <c r="B84" s="8" t="inlineStr">
        <is>
          <t>NRY-C1020</t>
        </is>
      </c>
      <c r="C84" s="8" t="inlineStr">
        <is>
          <t>SS</t>
        </is>
      </c>
      <c r="D84" s="8" t="n">
        <v>37</v>
      </c>
    </row>
    <row r="85">
      <c r="A85" s="8" t="inlineStr">
        <is>
          <t>NRY-C2020</t>
        </is>
      </c>
      <c r="B85" s="8" t="inlineStr">
        <is>
          <t>NRY-C2030</t>
        </is>
      </c>
      <c r="C85" s="8" t="inlineStr">
        <is>
          <t>FS</t>
        </is>
      </c>
      <c r="D85" s="8" t="n">
        <v>0</v>
      </c>
    </row>
    <row r="86">
      <c r="A86" s="8" t="inlineStr">
        <is>
          <t>NRY-C1020</t>
        </is>
      </c>
      <c r="B86" s="8" t="inlineStr">
        <is>
          <t>NRY-C2030</t>
        </is>
      </c>
      <c r="C86" s="8" t="inlineStr">
        <is>
          <t>FS</t>
        </is>
      </c>
      <c r="D86" s="8" t="n">
        <v>0</v>
      </c>
    </row>
    <row r="87">
      <c r="A87" s="8" t="inlineStr">
        <is>
          <t>NRY-C2010</t>
        </is>
      </c>
      <c r="B87" s="8" t="inlineStr">
        <is>
          <t>NRY-C2040</t>
        </is>
      </c>
      <c r="C87" s="8" t="inlineStr">
        <is>
          <t>FS</t>
        </is>
      </c>
      <c r="D87" s="8" t="n">
        <v>0</v>
      </c>
    </row>
    <row r="88">
      <c r="A88" s="8" t="inlineStr">
        <is>
          <t>NRY-C2010</t>
        </is>
      </c>
      <c r="B88" s="8" t="inlineStr">
        <is>
          <t>NRY-C2050</t>
        </is>
      </c>
      <c r="C88" s="8" t="inlineStr">
        <is>
          <t>FS</t>
        </is>
      </c>
      <c r="D88" s="8" t="n">
        <v>4</v>
      </c>
    </row>
    <row r="89">
      <c r="A89" s="8" t="inlineStr">
        <is>
          <t>NRY-C2020</t>
        </is>
      </c>
      <c r="B89" s="8" t="inlineStr">
        <is>
          <t>NRY-C2100</t>
        </is>
      </c>
      <c r="C89" s="8" t="inlineStr">
        <is>
          <t>FS</t>
        </is>
      </c>
      <c r="D89" s="8" t="n">
        <v>0</v>
      </c>
    </row>
    <row r="90">
      <c r="A90" s="8" t="inlineStr">
        <is>
          <t>NRY-C2030</t>
        </is>
      </c>
      <c r="B90" s="8" t="inlineStr">
        <is>
          <t>NRY-C2100</t>
        </is>
      </c>
      <c r="C90" s="8" t="inlineStr">
        <is>
          <t>FS</t>
        </is>
      </c>
      <c r="D90" s="8" t="n">
        <v>0</v>
      </c>
    </row>
    <row r="91">
      <c r="A91" s="8" t="inlineStr">
        <is>
          <t>NRY-C2040</t>
        </is>
      </c>
      <c r="B91" s="8" t="inlineStr">
        <is>
          <t>NRY-C2100</t>
        </is>
      </c>
      <c r="C91" s="8" t="inlineStr">
        <is>
          <t>FS</t>
        </is>
      </c>
      <c r="D91" s="8" t="n">
        <v>0</v>
      </c>
    </row>
    <row r="92">
      <c r="A92" s="8" t="inlineStr">
        <is>
          <t>NRY-C2050</t>
        </is>
      </c>
      <c r="B92" s="8" t="inlineStr">
        <is>
          <t>NRY-C2100</t>
        </is>
      </c>
      <c r="C92" s="8" t="inlineStr">
        <is>
          <t>FS</t>
        </is>
      </c>
      <c r="D92" s="8" t="n">
        <v>0</v>
      </c>
    </row>
    <row r="93">
      <c r="A93" s="8" t="inlineStr">
        <is>
          <t>NRY-C1020</t>
        </is>
      </c>
      <c r="B93" s="8" t="inlineStr">
        <is>
          <t>NRY-C2100</t>
        </is>
      </c>
      <c r="C93" s="8" t="inlineStr">
        <is>
          <t>FS</t>
        </is>
      </c>
      <c r="D93" s="8" t="n">
        <v>0</v>
      </c>
    </row>
    <row r="94">
      <c r="A94" s="8" t="inlineStr">
        <is>
          <t>NRY-C2100</t>
        </is>
      </c>
      <c r="B94" s="8" t="inlineStr">
        <is>
          <t>NRY-T1010</t>
        </is>
      </c>
      <c r="C94" s="8" t="inlineStr">
        <is>
          <t>FS</t>
        </is>
      </c>
      <c r="D94" s="8" t="n">
        <v>0</v>
      </c>
    </row>
    <row r="95">
      <c r="A95" s="8" t="inlineStr">
        <is>
          <t>NRY-T1010</t>
        </is>
      </c>
      <c r="B95" s="8" t="inlineStr">
        <is>
          <t>NRY-T1020</t>
        </is>
      </c>
      <c r="C95" s="8" t="inlineStr">
        <is>
          <t>FS</t>
        </is>
      </c>
      <c r="D95" s="8" t="n">
        <v>0</v>
      </c>
    </row>
    <row r="96">
      <c r="A96" s="8" t="inlineStr">
        <is>
          <t>NRY-C2100</t>
        </is>
      </c>
      <c r="B96" s="8" t="inlineStr">
        <is>
          <t>NRY-T1030</t>
        </is>
      </c>
      <c r="C96" s="8" t="inlineStr">
        <is>
          <t>FS</t>
        </is>
      </c>
      <c r="D96" s="8" t="n">
        <v>0</v>
      </c>
    </row>
    <row r="97">
      <c r="A97" s="8" t="inlineStr">
        <is>
          <t>NRY-T1030</t>
        </is>
      </c>
      <c r="B97" s="8" t="inlineStr">
        <is>
          <t>NRY-T1130</t>
        </is>
      </c>
      <c r="C97" s="8" t="inlineStr">
        <is>
          <t>FS</t>
        </is>
      </c>
      <c r="D97" s="8" t="n">
        <v>0</v>
      </c>
    </row>
    <row r="98">
      <c r="A98" s="8" t="inlineStr">
        <is>
          <t>NRY-T1020</t>
        </is>
      </c>
      <c r="B98" s="8" t="inlineStr">
        <is>
          <t>NRY-T1100</t>
        </is>
      </c>
      <c r="C98" s="8" t="inlineStr">
        <is>
          <t>FS</t>
        </is>
      </c>
      <c r="D98" s="8" t="n">
        <v>0</v>
      </c>
    </row>
    <row r="99">
      <c r="A99" s="8" t="inlineStr">
        <is>
          <t>NRY-T1130</t>
        </is>
      </c>
      <c r="B99" s="8" t="inlineStr">
        <is>
          <t>NRY-T1100</t>
        </is>
      </c>
      <c r="C99" s="8" t="inlineStr">
        <is>
          <t>FS</t>
        </is>
      </c>
      <c r="D99" s="8" t="n">
        <v>0</v>
      </c>
    </row>
    <row r="100">
      <c r="A100" s="8" t="inlineStr">
        <is>
          <t>NRY-T1020</t>
        </is>
      </c>
      <c r="B100" s="8" t="inlineStr">
        <is>
          <t>NRY-T2010</t>
        </is>
      </c>
      <c r="C100" s="8" t="inlineStr">
        <is>
          <t>FS</t>
        </is>
      </c>
      <c r="D100" s="8" t="n">
        <v>0</v>
      </c>
    </row>
    <row r="101">
      <c r="A101" s="8" t="inlineStr">
        <is>
          <t>NRY-T1020</t>
        </is>
      </c>
      <c r="B101" s="8" t="inlineStr">
        <is>
          <t>NRY-T2020</t>
        </is>
      </c>
      <c r="C101" s="8" t="inlineStr">
        <is>
          <t>FS</t>
        </is>
      </c>
      <c r="D101" s="8" t="n">
        <v>0</v>
      </c>
    </row>
    <row r="102">
      <c r="A102" s="8" t="inlineStr">
        <is>
          <t>NRY-C2100</t>
        </is>
      </c>
      <c r="B102" s="8" t="inlineStr">
        <is>
          <t>NRY-E1130</t>
        </is>
      </c>
      <c r="C102" s="8" t="inlineStr">
        <is>
          <t>FS</t>
        </is>
      </c>
      <c r="D102" s="8" t="n">
        <v>0</v>
      </c>
    </row>
    <row r="103">
      <c r="A103" s="8" t="inlineStr">
        <is>
          <t>NRY-E1130</t>
        </is>
      </c>
      <c r="B103" s="8" t="inlineStr">
        <is>
          <t>NRY-E1140</t>
        </is>
      </c>
      <c r="C103" s="8" t="inlineStr">
        <is>
          <t>FS</t>
        </is>
      </c>
      <c r="D103" s="8" t="n">
        <v>0</v>
      </c>
    </row>
    <row r="104">
      <c r="A104" s="8" t="inlineStr">
        <is>
          <t>NRY-T1100</t>
        </is>
      </c>
      <c r="B104" s="8" t="inlineStr">
        <is>
          <t>NRY-T3010</t>
        </is>
      </c>
      <c r="C104" s="8" t="inlineStr">
        <is>
          <t>FS</t>
        </is>
      </c>
      <c r="D104" s="8" t="n">
        <v>0</v>
      </c>
    </row>
    <row r="105">
      <c r="A105" s="8" t="inlineStr">
        <is>
          <t>NRY-T2010</t>
        </is>
      </c>
      <c r="B105" s="8" t="inlineStr">
        <is>
          <t>NRY-T3010</t>
        </is>
      </c>
      <c r="C105" s="8" t="inlineStr">
        <is>
          <t>FS</t>
        </is>
      </c>
      <c r="D105" s="8" t="n">
        <v>0</v>
      </c>
    </row>
    <row r="106">
      <c r="A106" s="8" t="inlineStr">
        <is>
          <t>NRY-T2020</t>
        </is>
      </c>
      <c r="B106" s="8" t="inlineStr">
        <is>
          <t>NRY-T3010</t>
        </is>
      </c>
      <c r="C106" s="8" t="inlineStr">
        <is>
          <t>FS</t>
        </is>
      </c>
      <c r="D106" s="8" t="n">
        <v>0</v>
      </c>
    </row>
    <row r="107">
      <c r="A107" s="8" t="inlineStr">
        <is>
          <t>NRY-E1140</t>
        </is>
      </c>
      <c r="B107" s="8" t="inlineStr">
        <is>
          <t>NRY-T3010</t>
        </is>
      </c>
      <c r="C107" s="8" t="inlineStr">
        <is>
          <t>FS</t>
        </is>
      </c>
      <c r="D107" s="8" t="n">
        <v>0</v>
      </c>
    </row>
    <row r="108">
      <c r="A108" s="8" t="inlineStr">
        <is>
          <t>NRY-T1130</t>
        </is>
      </c>
      <c r="B108" s="8" t="inlineStr">
        <is>
          <t>NRY-T3010</t>
        </is>
      </c>
      <c r="C108" s="8" t="inlineStr">
        <is>
          <t>FS</t>
        </is>
      </c>
      <c r="D108" s="8" t="n">
        <v>0</v>
      </c>
    </row>
    <row r="109">
      <c r="A109" s="8" t="inlineStr">
        <is>
          <t>NRY-T3010</t>
        </is>
      </c>
      <c r="B109" s="8" t="inlineStr">
        <is>
          <t>NRY-T3100</t>
        </is>
      </c>
      <c r="C109" s="8" t="inlineStr">
        <is>
          <t>FS</t>
        </is>
      </c>
      <c r="D109" s="8" t="n">
        <v>0</v>
      </c>
    </row>
    <row r="110">
      <c r="A110" s="8" t="inlineStr">
        <is>
          <t>HMK-E1010</t>
        </is>
      </c>
      <c r="B110" s="8" t="inlineStr">
        <is>
          <t>HMK-E1020</t>
        </is>
      </c>
      <c r="C110" s="8" t="inlineStr">
        <is>
          <t>FS</t>
        </is>
      </c>
      <c r="D110" s="8" t="n">
        <v>0</v>
      </c>
    </row>
    <row r="111">
      <c r="A111" s="8" t="inlineStr">
        <is>
          <t>HMK-E1030</t>
        </is>
      </c>
      <c r="B111" s="8" t="inlineStr">
        <is>
          <t>HMK-E1040</t>
        </is>
      </c>
      <c r="C111" s="8" t="inlineStr">
        <is>
          <t>FS</t>
        </is>
      </c>
      <c r="D111" s="8" t="n">
        <v>0</v>
      </c>
    </row>
    <row r="112">
      <c r="A112" s="8" t="inlineStr">
        <is>
          <t>HMK-E1050</t>
        </is>
      </c>
      <c r="B112" s="8" t="inlineStr">
        <is>
          <t>HMK-E1060</t>
        </is>
      </c>
      <c r="C112" s="8" t="inlineStr">
        <is>
          <t>FS</t>
        </is>
      </c>
      <c r="D112" s="8" t="n">
        <v>0</v>
      </c>
    </row>
    <row r="113">
      <c r="A113" s="8" t="inlineStr">
        <is>
          <t>HMK-E1070</t>
        </is>
      </c>
      <c r="B113" s="8" t="inlineStr">
        <is>
          <t>HMK-E1080</t>
        </is>
      </c>
      <c r="C113" s="8" t="inlineStr">
        <is>
          <t>FS</t>
        </is>
      </c>
      <c r="D113" s="8" t="n">
        <v>0</v>
      </c>
    </row>
    <row r="114">
      <c r="A114" s="8" t="inlineStr">
        <is>
          <t>HMK-E1090</t>
        </is>
      </c>
      <c r="B114" s="8" t="inlineStr">
        <is>
          <t>HMK-E1200</t>
        </is>
      </c>
      <c r="C114" s="8" t="inlineStr">
        <is>
          <t>FS</t>
        </is>
      </c>
      <c r="D114" s="8" t="n">
        <v>0</v>
      </c>
    </row>
    <row r="115">
      <c r="A115" s="8" t="inlineStr">
        <is>
          <t>HMK-E1110</t>
        </is>
      </c>
      <c r="B115" s="8" t="inlineStr">
        <is>
          <t>HMK-E1200</t>
        </is>
      </c>
      <c r="C115" s="8" t="inlineStr">
        <is>
          <t>FS</t>
        </is>
      </c>
      <c r="D115" s="8" t="n">
        <v>0</v>
      </c>
    </row>
    <row r="116">
      <c r="A116" s="8" t="inlineStr">
        <is>
          <t>HMK-E1020</t>
        </is>
      </c>
      <c r="B116" s="8" t="inlineStr">
        <is>
          <t>HMK-E1210</t>
        </is>
      </c>
      <c r="C116" s="8" t="inlineStr">
        <is>
          <t>FS</t>
        </is>
      </c>
      <c r="D116" s="8" t="n">
        <v>0</v>
      </c>
    </row>
    <row r="117">
      <c r="A117" s="8" t="inlineStr">
        <is>
          <t>HMK-E1040</t>
        </is>
      </c>
      <c r="B117" s="8" t="inlineStr">
        <is>
          <t>HMK-E1210</t>
        </is>
      </c>
      <c r="C117" s="8" t="inlineStr">
        <is>
          <t>FS</t>
        </is>
      </c>
      <c r="D117" s="8" t="n">
        <v>0</v>
      </c>
    </row>
    <row r="118">
      <c r="A118" s="8" t="inlineStr">
        <is>
          <t>HMK-E1060</t>
        </is>
      </c>
      <c r="B118" s="8" t="inlineStr">
        <is>
          <t>HMK-E1210</t>
        </is>
      </c>
      <c r="C118" s="8" t="inlineStr">
        <is>
          <t>FS</t>
        </is>
      </c>
      <c r="D118" s="8" t="n">
        <v>0</v>
      </c>
    </row>
    <row r="119">
      <c r="A119" s="8" t="inlineStr">
        <is>
          <t>HMK-E1080</t>
        </is>
      </c>
      <c r="B119" s="8" t="inlineStr">
        <is>
          <t>HMK-E1210</t>
        </is>
      </c>
      <c r="C119" s="8" t="inlineStr">
        <is>
          <t>FS</t>
        </is>
      </c>
      <c r="D119" s="8" t="n">
        <v>0</v>
      </c>
    </row>
    <row r="120">
      <c r="A120" s="8" t="inlineStr">
        <is>
          <t>HMK-E1100</t>
        </is>
      </c>
      <c r="B120" s="8" t="inlineStr">
        <is>
          <t>HMK-E1210</t>
        </is>
      </c>
      <c r="C120" s="8" t="inlineStr">
        <is>
          <t>FS</t>
        </is>
      </c>
      <c r="D120" s="8" t="n">
        <v>0</v>
      </c>
    </row>
    <row r="121">
      <c r="A121" s="8" t="inlineStr">
        <is>
          <t>HMK-E1120</t>
        </is>
      </c>
      <c r="B121" s="8" t="inlineStr">
        <is>
          <t>HMK-E1210</t>
        </is>
      </c>
      <c r="C121" s="8" t="inlineStr">
        <is>
          <t>FS</t>
        </is>
      </c>
      <c r="D121" s="8" t="n">
        <v>0</v>
      </c>
    </row>
    <row r="122">
      <c r="A122" s="8" t="inlineStr">
        <is>
          <t>HMK-E1200</t>
        </is>
      </c>
      <c r="B122" s="8" t="inlineStr">
        <is>
          <t>HMK-E1210</t>
        </is>
      </c>
      <c r="C122" s="8" t="inlineStr">
        <is>
          <t>FS</t>
        </is>
      </c>
      <c r="D122" s="8" t="n">
        <v>0</v>
      </c>
    </row>
    <row r="123">
      <c r="A123" s="8" t="inlineStr">
        <is>
          <t>HMK-E1210</t>
        </is>
      </c>
      <c r="B123" s="8" t="inlineStr">
        <is>
          <t>HMK-P1010</t>
        </is>
      </c>
      <c r="C123" s="8" t="inlineStr">
        <is>
          <t>FS</t>
        </is>
      </c>
      <c r="D123" s="8" t="n">
        <v>0</v>
      </c>
    </row>
    <row r="124">
      <c r="A124" s="8" t="inlineStr">
        <is>
          <t>HMK-E1210</t>
        </is>
      </c>
      <c r="B124" s="8" t="inlineStr">
        <is>
          <t>HMK-P1020</t>
        </is>
      </c>
      <c r="C124" s="8" t="inlineStr">
        <is>
          <t>FS</t>
        </is>
      </c>
      <c r="D124" s="8" t="n">
        <v>0</v>
      </c>
    </row>
    <row r="125">
      <c r="A125" s="8" t="inlineStr">
        <is>
          <t>HMK-E1210</t>
        </is>
      </c>
      <c r="B125" s="8" t="inlineStr">
        <is>
          <t>HMK-P1030</t>
        </is>
      </c>
      <c r="C125" s="8" t="inlineStr">
        <is>
          <t>FS</t>
        </is>
      </c>
      <c r="D125" s="8" t="n">
        <v>0</v>
      </c>
    </row>
    <row r="126">
      <c r="A126" s="8" t="inlineStr">
        <is>
          <t>HMK-E1210</t>
        </is>
      </c>
      <c r="B126" s="8" t="inlineStr">
        <is>
          <t>HMK-P1040</t>
        </is>
      </c>
      <c r="C126" s="8" t="inlineStr">
        <is>
          <t>FS</t>
        </is>
      </c>
      <c r="D126" s="8" t="n">
        <v>0</v>
      </c>
    </row>
    <row r="127">
      <c r="A127" s="8" t="inlineStr">
        <is>
          <t>HMK-P1010</t>
        </is>
      </c>
      <c r="B127" s="8" t="inlineStr">
        <is>
          <t>HMK-P1050</t>
        </is>
      </c>
      <c r="C127" s="8" t="inlineStr">
        <is>
          <t>FS</t>
        </is>
      </c>
      <c r="D127" s="8" t="n">
        <v>0</v>
      </c>
    </row>
    <row r="128">
      <c r="A128" s="8" t="inlineStr">
        <is>
          <t>HMK-P1020</t>
        </is>
      </c>
      <c r="B128" s="8" t="inlineStr">
        <is>
          <t>HMK-P1050</t>
        </is>
      </c>
      <c r="C128" s="8" t="inlineStr">
        <is>
          <t>FS</t>
        </is>
      </c>
      <c r="D128" s="8" t="n">
        <v>0</v>
      </c>
    </row>
    <row r="129">
      <c r="A129" s="8" t="inlineStr">
        <is>
          <t>HMK-P1030</t>
        </is>
      </c>
      <c r="B129" s="8" t="inlineStr">
        <is>
          <t>HMK-P1050</t>
        </is>
      </c>
      <c r="C129" s="8" t="inlineStr">
        <is>
          <t>FS</t>
        </is>
      </c>
      <c r="D129" s="8" t="n">
        <v>0</v>
      </c>
    </row>
    <row r="130">
      <c r="A130" s="8" t="inlineStr">
        <is>
          <t>HMK-P1040</t>
        </is>
      </c>
      <c r="B130" s="8" t="inlineStr">
        <is>
          <t>HMK-P1050</t>
        </is>
      </c>
      <c r="C130" s="8" t="inlineStr">
        <is>
          <t>FS</t>
        </is>
      </c>
      <c r="D130" s="8" t="n">
        <v>0</v>
      </c>
    </row>
    <row r="131">
      <c r="A131" s="8" t="inlineStr">
        <is>
          <t>HMK-P1050</t>
        </is>
      </c>
      <c r="B131" s="8" t="inlineStr">
        <is>
          <t>HMK-P1060</t>
        </is>
      </c>
      <c r="C131" s="8" t="inlineStr">
        <is>
          <t>FS</t>
        </is>
      </c>
      <c r="D131" s="8" t="n">
        <v>0</v>
      </c>
    </row>
    <row r="132">
      <c r="A132" s="8" t="inlineStr">
        <is>
          <t>HMK-P1060</t>
        </is>
      </c>
      <c r="B132" s="8" t="inlineStr">
        <is>
          <t>HMK-P1070</t>
        </is>
      </c>
      <c r="C132" s="8" t="inlineStr">
        <is>
          <t>FS</t>
        </is>
      </c>
      <c r="D132" s="8" t="n">
        <v>0</v>
      </c>
    </row>
    <row r="133">
      <c r="A133" s="8" t="inlineStr">
        <is>
          <t>HMK-P1070</t>
        </is>
      </c>
      <c r="B133" s="8" t="inlineStr">
        <is>
          <t>HMK-P1100</t>
        </is>
      </c>
      <c r="C133" s="8" t="inlineStr">
        <is>
          <t>FS</t>
        </is>
      </c>
      <c r="D133" s="8" t="n">
        <v>0</v>
      </c>
    </row>
    <row r="134">
      <c r="A134" s="8" t="inlineStr">
        <is>
          <t>HMK-P1100</t>
        </is>
      </c>
      <c r="B134" s="8" t="inlineStr">
        <is>
          <t>HMK-C2010</t>
        </is>
      </c>
      <c r="C134" s="8" t="inlineStr">
        <is>
          <t>FS</t>
        </is>
      </c>
      <c r="D134" s="8" t="n">
        <v>0</v>
      </c>
    </row>
    <row r="135">
      <c r="A135" s="8" t="inlineStr">
        <is>
          <t>HMK-E1120</t>
        </is>
      </c>
      <c r="B135" s="8" t="inlineStr">
        <is>
          <t>HMK-X1010</t>
        </is>
      </c>
      <c r="C135" s="8" t="inlineStr">
        <is>
          <t>FS</t>
        </is>
      </c>
      <c r="D135" s="8" t="n">
        <v>0</v>
      </c>
    </row>
    <row r="136">
      <c r="A136" s="8" t="inlineStr">
        <is>
          <t>HMK-X1010</t>
        </is>
      </c>
      <c r="B136" s="8" t="inlineStr">
        <is>
          <t>HMK-X1020</t>
        </is>
      </c>
      <c r="C136" s="8" t="inlineStr">
        <is>
          <t>FS</t>
        </is>
      </c>
      <c r="D136" s="8" t="n">
        <v>0</v>
      </c>
    </row>
    <row r="137">
      <c r="A137" s="8" t="inlineStr">
        <is>
          <t>HMK-X1020</t>
        </is>
      </c>
      <c r="B137" s="8" t="inlineStr">
        <is>
          <t>HMK-C1010</t>
        </is>
      </c>
      <c r="C137" s="8" t="inlineStr">
        <is>
          <t>FS</t>
        </is>
      </c>
      <c r="D137" s="8" t="n">
        <v>0</v>
      </c>
    </row>
    <row r="138">
      <c r="A138" s="8" t="inlineStr">
        <is>
          <t>HMK-C2010</t>
        </is>
      </c>
      <c r="B138" s="8" t="inlineStr">
        <is>
          <t>HMK-C2020</t>
        </is>
      </c>
      <c r="C138" s="8" t="inlineStr">
        <is>
          <t>SS</t>
        </is>
      </c>
      <c r="D138" s="8" t="n">
        <v>8</v>
      </c>
    </row>
    <row r="139">
      <c r="A139" s="8" t="inlineStr">
        <is>
          <t>HMK-C1010</t>
        </is>
      </c>
      <c r="B139" s="8" t="inlineStr">
        <is>
          <t>HMK-C2020</t>
        </is>
      </c>
      <c r="C139" s="8" t="inlineStr">
        <is>
          <t>SS</t>
        </is>
      </c>
      <c r="D139" s="8" t="n">
        <v>34</v>
      </c>
    </row>
    <row r="140">
      <c r="A140" s="8" t="inlineStr">
        <is>
          <t>HMK-C1010</t>
        </is>
      </c>
      <c r="B140" s="8" t="inlineStr">
        <is>
          <t>HMK-C1020</t>
        </is>
      </c>
      <c r="C140" s="8" t="inlineStr">
        <is>
          <t>SS</t>
        </is>
      </c>
      <c r="D140" s="8" t="n">
        <v>31</v>
      </c>
    </row>
    <row r="141">
      <c r="A141" s="8" t="inlineStr">
        <is>
          <t>HMK-C2020</t>
        </is>
      </c>
      <c r="B141" s="8" t="inlineStr">
        <is>
          <t>HMK-C2030</t>
        </is>
      </c>
      <c r="C141" s="8" t="inlineStr">
        <is>
          <t>FS</t>
        </is>
      </c>
      <c r="D141" s="8" t="n">
        <v>0</v>
      </c>
    </row>
    <row r="142">
      <c r="A142" s="8" t="inlineStr">
        <is>
          <t>HMK-C1020</t>
        </is>
      </c>
      <c r="B142" s="8" t="inlineStr">
        <is>
          <t>HMK-C2030</t>
        </is>
      </c>
      <c r="C142" s="8" t="inlineStr">
        <is>
          <t>FS</t>
        </is>
      </c>
      <c r="D142" s="8" t="n">
        <v>0</v>
      </c>
    </row>
    <row r="143">
      <c r="A143" s="8" t="inlineStr">
        <is>
          <t>HMK-C2010</t>
        </is>
      </c>
      <c r="B143" s="8" t="inlineStr">
        <is>
          <t>HMK-C2040</t>
        </is>
      </c>
      <c r="C143" s="8" t="inlineStr">
        <is>
          <t>FS</t>
        </is>
      </c>
      <c r="D143" s="8" t="n">
        <v>0</v>
      </c>
    </row>
    <row r="144">
      <c r="A144" s="8" t="inlineStr">
        <is>
          <t>HMK-C2010</t>
        </is>
      </c>
      <c r="B144" s="8" t="inlineStr">
        <is>
          <t>HMK-C2050</t>
        </is>
      </c>
      <c r="C144" s="8" t="inlineStr">
        <is>
          <t>FS</t>
        </is>
      </c>
      <c r="D144" s="8" t="n">
        <v>8</v>
      </c>
    </row>
    <row r="145">
      <c r="A145" s="8" t="inlineStr">
        <is>
          <t>HMK-C2020</t>
        </is>
      </c>
      <c r="B145" s="8" t="inlineStr">
        <is>
          <t>HMK-C2100</t>
        </is>
      </c>
      <c r="C145" s="8" t="inlineStr">
        <is>
          <t>FS</t>
        </is>
      </c>
      <c r="D145" s="8" t="n">
        <v>0</v>
      </c>
    </row>
    <row r="146">
      <c r="A146" s="8" t="inlineStr">
        <is>
          <t>HMK-C2030</t>
        </is>
      </c>
      <c r="B146" s="8" t="inlineStr">
        <is>
          <t>HMK-C2100</t>
        </is>
      </c>
      <c r="C146" s="8" t="inlineStr">
        <is>
          <t>FS</t>
        </is>
      </c>
      <c r="D146" s="8" t="n">
        <v>0</v>
      </c>
    </row>
    <row r="147">
      <c r="A147" s="8" t="inlineStr">
        <is>
          <t>HMK-C2040</t>
        </is>
      </c>
      <c r="B147" s="8" t="inlineStr">
        <is>
          <t>HMK-C2100</t>
        </is>
      </c>
      <c r="C147" s="8" t="inlineStr">
        <is>
          <t>FS</t>
        </is>
      </c>
      <c r="D147" s="8" t="n">
        <v>0</v>
      </c>
    </row>
    <row r="148">
      <c r="A148" s="8" t="inlineStr">
        <is>
          <t>HMK-C2050</t>
        </is>
      </c>
      <c r="B148" s="8" t="inlineStr">
        <is>
          <t>HMK-C2100</t>
        </is>
      </c>
      <c r="C148" s="8" t="inlineStr">
        <is>
          <t>FS</t>
        </is>
      </c>
      <c r="D148" s="8" t="n">
        <v>0</v>
      </c>
    </row>
    <row r="149">
      <c r="A149" s="8" t="inlineStr">
        <is>
          <t>HMK-C1020</t>
        </is>
      </c>
      <c r="B149" s="8" t="inlineStr">
        <is>
          <t>HMK-C2100</t>
        </is>
      </c>
      <c r="C149" s="8" t="inlineStr">
        <is>
          <t>FS</t>
        </is>
      </c>
      <c r="D149" s="8" t="n">
        <v>0</v>
      </c>
    </row>
    <row r="150">
      <c r="A150" s="8" t="inlineStr">
        <is>
          <t>HMK-C2100</t>
        </is>
      </c>
      <c r="B150" s="8" t="inlineStr">
        <is>
          <t>HMK-T1010</t>
        </is>
      </c>
      <c r="C150" s="8" t="inlineStr">
        <is>
          <t>FS</t>
        </is>
      </c>
      <c r="D150" s="8" t="n">
        <v>0</v>
      </c>
    </row>
    <row r="151">
      <c r="A151" s="8" t="inlineStr">
        <is>
          <t>HMK-T1010</t>
        </is>
      </c>
      <c r="B151" s="8" t="inlineStr">
        <is>
          <t>HMK-T1020</t>
        </is>
      </c>
      <c r="C151" s="8" t="inlineStr">
        <is>
          <t>FS</t>
        </is>
      </c>
      <c r="D151" s="8" t="n">
        <v>0</v>
      </c>
    </row>
    <row r="152">
      <c r="A152" s="8" t="inlineStr">
        <is>
          <t>HMK-T1020</t>
        </is>
      </c>
      <c r="B152" s="8" t="inlineStr">
        <is>
          <t>HMK-T1100</t>
        </is>
      </c>
      <c r="C152" s="8" t="inlineStr">
        <is>
          <t>FS</t>
        </is>
      </c>
      <c r="D152" s="8" t="n">
        <v>0</v>
      </c>
    </row>
    <row r="153">
      <c r="A153" s="8" t="inlineStr">
        <is>
          <t>HMK-T1020</t>
        </is>
      </c>
      <c r="B153" s="8" t="inlineStr">
        <is>
          <t>HMK-T2010</t>
        </is>
      </c>
      <c r="C153" s="8" t="inlineStr">
        <is>
          <t>FS</t>
        </is>
      </c>
      <c r="D153" s="8" t="n">
        <v>0</v>
      </c>
    </row>
    <row r="154">
      <c r="A154" s="8" t="inlineStr">
        <is>
          <t>HMK-T1020</t>
        </is>
      </c>
      <c r="B154" s="8" t="inlineStr">
        <is>
          <t>HMK-T2020</t>
        </is>
      </c>
      <c r="C154" s="8" t="inlineStr">
        <is>
          <t>FS</t>
        </is>
      </c>
      <c r="D154" s="8" t="n">
        <v>0</v>
      </c>
    </row>
    <row r="155">
      <c r="A155" s="8" t="inlineStr">
        <is>
          <t>HMK-C2100</t>
        </is>
      </c>
      <c r="B155" s="8" t="inlineStr">
        <is>
          <t>HMK-E1130</t>
        </is>
      </c>
      <c r="C155" s="8" t="inlineStr">
        <is>
          <t>FS</t>
        </is>
      </c>
      <c r="D155" s="8" t="n">
        <v>0</v>
      </c>
    </row>
    <row r="156">
      <c r="A156" s="8" t="inlineStr">
        <is>
          <t>HMK-E1130</t>
        </is>
      </c>
      <c r="B156" s="8" t="inlineStr">
        <is>
          <t>HMK-E1140</t>
        </is>
      </c>
      <c r="C156" s="8" t="inlineStr">
        <is>
          <t>FS</t>
        </is>
      </c>
      <c r="D156" s="8" t="n">
        <v>0</v>
      </c>
    </row>
    <row r="157">
      <c r="A157" s="8" t="inlineStr">
        <is>
          <t>HMK-T1100</t>
        </is>
      </c>
      <c r="B157" s="8" t="inlineStr">
        <is>
          <t>HMK-T3010</t>
        </is>
      </c>
      <c r="C157" s="8" t="inlineStr">
        <is>
          <t>FS</t>
        </is>
      </c>
      <c r="D157" s="8" t="n">
        <v>0</v>
      </c>
    </row>
    <row r="158">
      <c r="A158" s="8" t="inlineStr">
        <is>
          <t>HMK-T2010</t>
        </is>
      </c>
      <c r="B158" s="8" t="inlineStr">
        <is>
          <t>HMK-T3010</t>
        </is>
      </c>
      <c r="C158" s="8" t="inlineStr">
        <is>
          <t>FS</t>
        </is>
      </c>
      <c r="D158" s="8" t="n">
        <v>0</v>
      </c>
    </row>
    <row r="159">
      <c r="A159" s="8" t="inlineStr">
        <is>
          <t>HMK-T2020</t>
        </is>
      </c>
      <c r="B159" s="8" t="inlineStr">
        <is>
          <t>HMK-T3010</t>
        </is>
      </c>
      <c r="C159" s="8" t="inlineStr">
        <is>
          <t>FS</t>
        </is>
      </c>
      <c r="D159" s="8" t="n">
        <v>0</v>
      </c>
    </row>
    <row r="160">
      <c r="A160" s="8" t="inlineStr">
        <is>
          <t>HMK-E1140</t>
        </is>
      </c>
      <c r="B160" s="8" t="inlineStr">
        <is>
          <t>HMK-T3010</t>
        </is>
      </c>
      <c r="C160" s="8" t="inlineStr">
        <is>
          <t>FS</t>
        </is>
      </c>
      <c r="D160" s="8" t="n">
        <v>0</v>
      </c>
    </row>
    <row r="161">
      <c r="A161" s="8" t="inlineStr">
        <is>
          <t>HMK-T3010</t>
        </is>
      </c>
      <c r="B161" s="8" t="inlineStr">
        <is>
          <t>HMK-T3100</t>
        </is>
      </c>
      <c r="C161" s="8" t="inlineStr">
        <is>
          <t>FS</t>
        </is>
      </c>
      <c r="D161" s="8" t="n">
        <v>0</v>
      </c>
    </row>
    <row r="162">
      <c r="A162" s="8" t="inlineStr">
        <is>
          <t>ERY-E1010</t>
        </is>
      </c>
      <c r="B162" s="8" t="inlineStr">
        <is>
          <t>ERY-E1020</t>
        </is>
      </c>
      <c r="C162" s="8" t="inlineStr">
        <is>
          <t>FS</t>
        </is>
      </c>
      <c r="D162" s="8" t="n">
        <v>0</v>
      </c>
    </row>
    <row r="163">
      <c r="A163" s="8" t="inlineStr">
        <is>
          <t>ERY-E1030</t>
        </is>
      </c>
      <c r="B163" s="8" t="inlineStr">
        <is>
          <t>ERY-E1040</t>
        </is>
      </c>
      <c r="C163" s="8" t="inlineStr">
        <is>
          <t>FS</t>
        </is>
      </c>
      <c r="D163" s="8" t="n">
        <v>0</v>
      </c>
    </row>
    <row r="164">
      <c r="A164" s="8" t="inlineStr">
        <is>
          <t>ERY-E1050</t>
        </is>
      </c>
      <c r="B164" s="8" t="inlineStr">
        <is>
          <t>ERY-E1060</t>
        </is>
      </c>
      <c r="C164" s="8" t="inlineStr">
        <is>
          <t>FS</t>
        </is>
      </c>
      <c r="D164" s="8" t="n">
        <v>0</v>
      </c>
    </row>
    <row r="165">
      <c r="A165" s="8" t="inlineStr">
        <is>
          <t>ERY-E1070</t>
        </is>
      </c>
      <c r="B165" s="8" t="inlineStr">
        <is>
          <t>ERY-E1080</t>
        </is>
      </c>
      <c r="C165" s="8" t="inlineStr">
        <is>
          <t>FS</t>
        </is>
      </c>
      <c r="D165" s="8" t="n">
        <v>0</v>
      </c>
    </row>
    <row r="166">
      <c r="A166" s="8" t="inlineStr">
        <is>
          <t>ERY-E1090</t>
        </is>
      </c>
      <c r="B166" s="8" t="inlineStr">
        <is>
          <t>ERY-E1200</t>
        </is>
      </c>
      <c r="C166" s="8" t="inlineStr">
        <is>
          <t>FS</t>
        </is>
      </c>
      <c r="D166" s="8" t="n">
        <v>0</v>
      </c>
    </row>
    <row r="167">
      <c r="A167" s="8" t="inlineStr">
        <is>
          <t>ERY-E1110</t>
        </is>
      </c>
      <c r="B167" s="8" t="inlineStr">
        <is>
          <t>ERY-E1200</t>
        </is>
      </c>
      <c r="C167" s="8" t="inlineStr">
        <is>
          <t>FS</t>
        </is>
      </c>
      <c r="D167" s="8" t="n">
        <v>0</v>
      </c>
    </row>
    <row r="168">
      <c r="A168" s="8" t="inlineStr">
        <is>
          <t>ERY-E1020</t>
        </is>
      </c>
      <c r="B168" s="8" t="inlineStr">
        <is>
          <t>ERY-E1210</t>
        </is>
      </c>
      <c r="C168" s="8" t="inlineStr">
        <is>
          <t>FS</t>
        </is>
      </c>
      <c r="D168" s="8" t="n">
        <v>0</v>
      </c>
    </row>
    <row r="169">
      <c r="A169" s="8" t="inlineStr">
        <is>
          <t>ERY-E1040</t>
        </is>
      </c>
      <c r="B169" s="8" t="inlineStr">
        <is>
          <t>ERY-E1210</t>
        </is>
      </c>
      <c r="C169" s="8" t="inlineStr">
        <is>
          <t>FS</t>
        </is>
      </c>
      <c r="D169" s="8" t="n">
        <v>0</v>
      </c>
    </row>
    <row r="170">
      <c r="A170" s="8" t="inlineStr">
        <is>
          <t>ERY-E1060</t>
        </is>
      </c>
      <c r="B170" s="8" t="inlineStr">
        <is>
          <t>ERY-E1210</t>
        </is>
      </c>
      <c r="C170" s="8" t="inlineStr">
        <is>
          <t>FS</t>
        </is>
      </c>
      <c r="D170" s="8" t="n">
        <v>0</v>
      </c>
    </row>
    <row r="171">
      <c r="A171" s="8" t="inlineStr">
        <is>
          <t>ERY-E1080</t>
        </is>
      </c>
      <c r="B171" s="8" t="inlineStr">
        <is>
          <t>ERY-E1210</t>
        </is>
      </c>
      <c r="C171" s="8" t="inlineStr">
        <is>
          <t>FS</t>
        </is>
      </c>
      <c r="D171" s="8" t="n">
        <v>0</v>
      </c>
    </row>
    <row r="172">
      <c r="A172" s="8" t="inlineStr">
        <is>
          <t>ERY-E1100</t>
        </is>
      </c>
      <c r="B172" s="8" t="inlineStr">
        <is>
          <t>ERY-E1210</t>
        </is>
      </c>
      <c r="C172" s="8" t="inlineStr">
        <is>
          <t>FS</t>
        </is>
      </c>
      <c r="D172" s="8" t="n">
        <v>0</v>
      </c>
    </row>
    <row r="173">
      <c r="A173" s="8" t="inlineStr">
        <is>
          <t>ERY-E1120</t>
        </is>
      </c>
      <c r="B173" s="8" t="inlineStr">
        <is>
          <t>ERY-E1210</t>
        </is>
      </c>
      <c r="C173" s="8" t="inlineStr">
        <is>
          <t>FS</t>
        </is>
      </c>
      <c r="D173" s="8" t="n">
        <v>0</v>
      </c>
    </row>
    <row r="174">
      <c r="A174" s="8" t="inlineStr">
        <is>
          <t>ERY-E1200</t>
        </is>
      </c>
      <c r="B174" s="8" t="inlineStr">
        <is>
          <t>ERY-E1210</t>
        </is>
      </c>
      <c r="C174" s="8" t="inlineStr">
        <is>
          <t>FS</t>
        </is>
      </c>
      <c r="D174" s="8" t="n">
        <v>0</v>
      </c>
    </row>
    <row r="175">
      <c r="A175" s="8" t="inlineStr">
        <is>
          <t>ERY-E1210</t>
        </is>
      </c>
      <c r="B175" s="8" t="inlineStr">
        <is>
          <t>ERY-P1010</t>
        </is>
      </c>
      <c r="C175" s="8" t="inlineStr">
        <is>
          <t>FS</t>
        </is>
      </c>
      <c r="D175" s="8" t="n">
        <v>0</v>
      </c>
    </row>
    <row r="176">
      <c r="A176" s="8" t="inlineStr">
        <is>
          <t>ERY-E1210</t>
        </is>
      </c>
      <c r="B176" s="8" t="inlineStr">
        <is>
          <t>ERY-P1020</t>
        </is>
      </c>
      <c r="C176" s="8" t="inlineStr">
        <is>
          <t>FS</t>
        </is>
      </c>
      <c r="D176" s="8" t="n">
        <v>0</v>
      </c>
    </row>
    <row r="177">
      <c r="A177" s="8" t="inlineStr">
        <is>
          <t>ERY-E1210</t>
        </is>
      </c>
      <c r="B177" s="8" t="inlineStr">
        <is>
          <t>ERY-P1030</t>
        </is>
      </c>
      <c r="C177" s="8" t="inlineStr">
        <is>
          <t>FS</t>
        </is>
      </c>
      <c r="D177" s="8" t="n">
        <v>0</v>
      </c>
    </row>
    <row r="178">
      <c r="A178" s="8" t="inlineStr">
        <is>
          <t>ERY-E1210</t>
        </is>
      </c>
      <c r="B178" s="8" t="inlineStr">
        <is>
          <t>ERY-P1040</t>
        </is>
      </c>
      <c r="C178" s="8" t="inlineStr">
        <is>
          <t>FS</t>
        </is>
      </c>
      <c r="D178" s="8" t="n">
        <v>0</v>
      </c>
    </row>
    <row r="179">
      <c r="A179" s="8" t="inlineStr">
        <is>
          <t>ERY-P1010</t>
        </is>
      </c>
      <c r="B179" s="8" t="inlineStr">
        <is>
          <t>ERY-P1050</t>
        </is>
      </c>
      <c r="C179" s="8" t="inlineStr">
        <is>
          <t>FS</t>
        </is>
      </c>
      <c r="D179" s="8" t="n">
        <v>0</v>
      </c>
    </row>
    <row r="180">
      <c r="A180" s="8" t="inlineStr">
        <is>
          <t>ERY-P1020</t>
        </is>
      </c>
      <c r="B180" s="8" t="inlineStr">
        <is>
          <t>ERY-P1050</t>
        </is>
      </c>
      <c r="C180" s="8" t="inlineStr">
        <is>
          <t>FS</t>
        </is>
      </c>
      <c r="D180" s="8" t="n">
        <v>0</v>
      </c>
    </row>
    <row r="181">
      <c r="A181" s="8" t="inlineStr">
        <is>
          <t>ERY-P1030</t>
        </is>
      </c>
      <c r="B181" s="8" t="inlineStr">
        <is>
          <t>ERY-P1050</t>
        </is>
      </c>
      <c r="C181" s="8" t="inlineStr">
        <is>
          <t>FS</t>
        </is>
      </c>
      <c r="D181" s="8" t="n">
        <v>0</v>
      </c>
    </row>
    <row r="182">
      <c r="A182" s="8" t="inlineStr">
        <is>
          <t>ERY-P1040</t>
        </is>
      </c>
      <c r="B182" s="8" t="inlineStr">
        <is>
          <t>ERY-P1050</t>
        </is>
      </c>
      <c r="C182" s="8" t="inlineStr">
        <is>
          <t>FS</t>
        </is>
      </c>
      <c r="D182" s="8" t="n">
        <v>0</v>
      </c>
    </row>
    <row r="183">
      <c r="A183" s="8" t="inlineStr">
        <is>
          <t>ERY-P1050</t>
        </is>
      </c>
      <c r="B183" s="8" t="inlineStr">
        <is>
          <t>ERY-P1060</t>
        </is>
      </c>
      <c r="C183" s="8" t="inlineStr">
        <is>
          <t>FS</t>
        </is>
      </c>
      <c r="D183" s="8" t="n">
        <v>0</v>
      </c>
    </row>
    <row r="184">
      <c r="A184" s="8" t="inlineStr">
        <is>
          <t>ERY-P1060</t>
        </is>
      </c>
      <c r="B184" s="8" t="inlineStr">
        <is>
          <t>ERY-P1070</t>
        </is>
      </c>
      <c r="C184" s="8" t="inlineStr">
        <is>
          <t>FS</t>
        </is>
      </c>
      <c r="D184" s="8" t="n">
        <v>0</v>
      </c>
    </row>
    <row r="185">
      <c r="A185" s="8" t="inlineStr">
        <is>
          <t>ERY-P1070</t>
        </is>
      </c>
      <c r="B185" s="8" t="inlineStr">
        <is>
          <t>ERY-P1100</t>
        </is>
      </c>
      <c r="C185" s="8" t="inlineStr">
        <is>
          <t>FS</t>
        </is>
      </c>
      <c r="D185" s="8" t="n">
        <v>0</v>
      </c>
    </row>
    <row r="186">
      <c r="A186" s="8" t="inlineStr">
        <is>
          <t>ERY-P1100</t>
        </is>
      </c>
      <c r="B186" s="8" t="inlineStr">
        <is>
          <t>ERY-C2010</t>
        </is>
      </c>
      <c r="C186" s="8" t="inlineStr">
        <is>
          <t>FS</t>
        </is>
      </c>
      <c r="D186" s="8" t="n">
        <v>0</v>
      </c>
    </row>
    <row r="187">
      <c r="A187" s="8" t="inlineStr">
        <is>
          <t>ERY-E1120</t>
        </is>
      </c>
      <c r="B187" s="8" t="inlineStr">
        <is>
          <t>ERY-X1010</t>
        </is>
      </c>
      <c r="C187" s="8" t="inlineStr">
        <is>
          <t>FS</t>
        </is>
      </c>
      <c r="D187" s="8" t="n">
        <v>0</v>
      </c>
    </row>
    <row r="188">
      <c r="A188" s="8" t="inlineStr">
        <is>
          <t>ERY-X1010</t>
        </is>
      </c>
      <c r="B188" s="8" t="inlineStr">
        <is>
          <t>ERY-X1020</t>
        </is>
      </c>
      <c r="C188" s="8" t="inlineStr">
        <is>
          <t>FS</t>
        </is>
      </c>
      <c r="D188" s="8" t="n">
        <v>0</v>
      </c>
    </row>
    <row r="189">
      <c r="A189" s="8" t="inlineStr">
        <is>
          <t>ERY-X1020</t>
        </is>
      </c>
      <c r="B189" s="8" t="inlineStr">
        <is>
          <t>ERY-C1010</t>
        </is>
      </c>
      <c r="C189" s="8" t="inlineStr">
        <is>
          <t>FS</t>
        </is>
      </c>
      <c r="D189" s="8" t="n">
        <v>0</v>
      </c>
    </row>
    <row r="190">
      <c r="A190" s="8" t="inlineStr">
        <is>
          <t>ERY-C2010</t>
        </is>
      </c>
      <c r="B190" s="8" t="inlineStr">
        <is>
          <t>ERY-C2020</t>
        </is>
      </c>
      <c r="C190" s="8" t="inlineStr">
        <is>
          <t>SS</t>
        </is>
      </c>
      <c r="D190" s="8" t="n">
        <v>4</v>
      </c>
    </row>
    <row r="191">
      <c r="A191" s="8" t="inlineStr">
        <is>
          <t>ERY-C1010</t>
        </is>
      </c>
      <c r="B191" s="8" t="inlineStr">
        <is>
          <t>ERY-C2020</t>
        </is>
      </c>
      <c r="C191" s="8" t="inlineStr">
        <is>
          <t>SS</t>
        </is>
      </c>
      <c r="D191" s="8" t="n">
        <v>39</v>
      </c>
    </row>
    <row r="192">
      <c r="A192" s="8" t="inlineStr">
        <is>
          <t>ERY-C1010</t>
        </is>
      </c>
      <c r="B192" s="8" t="inlineStr">
        <is>
          <t>ERY-C1020</t>
        </is>
      </c>
      <c r="C192" s="8" t="inlineStr">
        <is>
          <t>SS</t>
        </is>
      </c>
      <c r="D192" s="8" t="n">
        <v>35</v>
      </c>
    </row>
    <row r="193">
      <c r="A193" s="8" t="inlineStr">
        <is>
          <t>ERY-C2020</t>
        </is>
      </c>
      <c r="B193" s="8" t="inlineStr">
        <is>
          <t>ERY-C2030</t>
        </is>
      </c>
      <c r="C193" s="8" t="inlineStr">
        <is>
          <t>FS</t>
        </is>
      </c>
      <c r="D193" s="8" t="n">
        <v>0</v>
      </c>
    </row>
    <row r="194">
      <c r="A194" s="8" t="inlineStr">
        <is>
          <t>ERY-C1020</t>
        </is>
      </c>
      <c r="B194" s="8" t="inlineStr">
        <is>
          <t>ERY-C2030</t>
        </is>
      </c>
      <c r="C194" s="8" t="inlineStr">
        <is>
          <t>FS</t>
        </is>
      </c>
      <c r="D194" s="8" t="n">
        <v>0</v>
      </c>
    </row>
    <row r="195">
      <c r="A195" s="8" t="inlineStr">
        <is>
          <t>ERY-C2010</t>
        </is>
      </c>
      <c r="B195" s="8" t="inlineStr">
        <is>
          <t>ERY-C2040</t>
        </is>
      </c>
      <c r="C195" s="8" t="inlineStr">
        <is>
          <t>FS</t>
        </is>
      </c>
      <c r="D195" s="8" t="n">
        <v>0</v>
      </c>
    </row>
    <row r="196">
      <c r="A196" s="8" t="inlineStr">
        <is>
          <t>ERY-C2010</t>
        </is>
      </c>
      <c r="B196" s="8" t="inlineStr">
        <is>
          <t>ERY-C2050</t>
        </is>
      </c>
      <c r="C196" s="8" t="inlineStr">
        <is>
          <t>FS</t>
        </is>
      </c>
      <c r="D196" s="8" t="n">
        <v>4</v>
      </c>
    </row>
    <row r="197">
      <c r="A197" s="8" t="inlineStr">
        <is>
          <t>ERY-C2020</t>
        </is>
      </c>
      <c r="B197" s="8" t="inlineStr">
        <is>
          <t>ERY-C2100</t>
        </is>
      </c>
      <c r="C197" s="8" t="inlineStr">
        <is>
          <t>FS</t>
        </is>
      </c>
      <c r="D197" s="8" t="n">
        <v>0</v>
      </c>
    </row>
    <row r="198">
      <c r="A198" s="8" t="inlineStr">
        <is>
          <t>ERY-C2030</t>
        </is>
      </c>
      <c r="B198" s="8" t="inlineStr">
        <is>
          <t>ERY-C2100</t>
        </is>
      </c>
      <c r="C198" s="8" t="inlineStr">
        <is>
          <t>FS</t>
        </is>
      </c>
      <c r="D198" s="8" t="n">
        <v>0</v>
      </c>
    </row>
    <row r="199">
      <c r="A199" s="8" t="inlineStr">
        <is>
          <t>ERY-C2040</t>
        </is>
      </c>
      <c r="B199" s="8" t="inlineStr">
        <is>
          <t>ERY-C2100</t>
        </is>
      </c>
      <c r="C199" s="8" t="inlineStr">
        <is>
          <t>FS</t>
        </is>
      </c>
      <c r="D199" s="8" t="n">
        <v>0</v>
      </c>
    </row>
    <row r="200">
      <c r="A200" s="8" t="inlineStr">
        <is>
          <t>ERY-C2050</t>
        </is>
      </c>
      <c r="B200" s="8" t="inlineStr">
        <is>
          <t>ERY-C2100</t>
        </is>
      </c>
      <c r="C200" s="8" t="inlineStr">
        <is>
          <t>FS</t>
        </is>
      </c>
      <c r="D200" s="8" t="n">
        <v>0</v>
      </c>
    </row>
    <row r="201">
      <c r="A201" s="8" t="inlineStr">
        <is>
          <t>ERY-C1020</t>
        </is>
      </c>
      <c r="B201" s="8" t="inlineStr">
        <is>
          <t>ERY-C2100</t>
        </is>
      </c>
      <c r="C201" s="8" t="inlineStr">
        <is>
          <t>FS</t>
        </is>
      </c>
      <c r="D201" s="8" t="n">
        <v>0</v>
      </c>
    </row>
    <row r="202">
      <c r="A202" s="8" t="inlineStr">
        <is>
          <t>ERY-C2100</t>
        </is>
      </c>
      <c r="B202" s="8" t="inlineStr">
        <is>
          <t>ERY-T1010</t>
        </is>
      </c>
      <c r="C202" s="8" t="inlineStr">
        <is>
          <t>FS</t>
        </is>
      </c>
      <c r="D202" s="8" t="n">
        <v>0</v>
      </c>
    </row>
    <row r="203">
      <c r="A203" s="8" t="inlineStr">
        <is>
          <t>ERY-T1010</t>
        </is>
      </c>
      <c r="B203" s="8" t="inlineStr">
        <is>
          <t>ERY-T1020</t>
        </is>
      </c>
      <c r="C203" s="8" t="inlineStr">
        <is>
          <t>FS</t>
        </is>
      </c>
      <c r="D203" s="8" t="n">
        <v>0</v>
      </c>
    </row>
    <row r="204">
      <c r="A204" s="8" t="inlineStr">
        <is>
          <t>ERY-T1020</t>
        </is>
      </c>
      <c r="B204" s="8" t="inlineStr">
        <is>
          <t>ERY-T1100</t>
        </is>
      </c>
      <c r="C204" s="8" t="inlineStr">
        <is>
          <t>FS</t>
        </is>
      </c>
      <c r="D204" s="8" t="n">
        <v>0</v>
      </c>
    </row>
    <row r="205">
      <c r="A205" s="8" t="inlineStr">
        <is>
          <t>ERY-T1020</t>
        </is>
      </c>
      <c r="B205" s="8" t="inlineStr">
        <is>
          <t>ERY-T2010</t>
        </is>
      </c>
      <c r="C205" s="8" t="inlineStr">
        <is>
          <t>FS</t>
        </is>
      </c>
      <c r="D205" s="8" t="n">
        <v>0</v>
      </c>
    </row>
    <row r="206">
      <c r="A206" s="8" t="inlineStr">
        <is>
          <t>ERY-T1020</t>
        </is>
      </c>
      <c r="B206" s="8" t="inlineStr">
        <is>
          <t>ERY-T2020</t>
        </is>
      </c>
      <c r="C206" s="8" t="inlineStr">
        <is>
          <t>FS</t>
        </is>
      </c>
      <c r="D206" s="8" t="n">
        <v>0</v>
      </c>
    </row>
    <row r="207">
      <c r="A207" s="8" t="inlineStr">
        <is>
          <t>ERY-C2100</t>
        </is>
      </c>
      <c r="B207" s="8" t="inlineStr">
        <is>
          <t>ERY-E1130</t>
        </is>
      </c>
      <c r="C207" s="8" t="inlineStr">
        <is>
          <t>FS</t>
        </is>
      </c>
      <c r="D207" s="8" t="n">
        <v>0</v>
      </c>
    </row>
    <row r="208">
      <c r="A208" s="8" t="inlineStr">
        <is>
          <t>ERY-E1130</t>
        </is>
      </c>
      <c r="B208" s="8" t="inlineStr">
        <is>
          <t>ERY-E1140</t>
        </is>
      </c>
      <c r="C208" s="8" t="inlineStr">
        <is>
          <t>FS</t>
        </is>
      </c>
      <c r="D208" s="8" t="n">
        <v>0</v>
      </c>
    </row>
    <row r="209">
      <c r="A209" s="8" t="inlineStr">
        <is>
          <t>ERY-T1100</t>
        </is>
      </c>
      <c r="B209" s="8" t="inlineStr">
        <is>
          <t>ERY-T3010</t>
        </is>
      </c>
      <c r="C209" s="8" t="inlineStr">
        <is>
          <t>FS</t>
        </is>
      </c>
      <c r="D209" s="8" t="n">
        <v>0</v>
      </c>
    </row>
    <row r="210">
      <c r="A210" s="8" t="inlineStr">
        <is>
          <t>ERY-T2010</t>
        </is>
      </c>
      <c r="B210" s="8" t="inlineStr">
        <is>
          <t>ERY-T3010</t>
        </is>
      </c>
      <c r="C210" s="8" t="inlineStr">
        <is>
          <t>FS</t>
        </is>
      </c>
      <c r="D210" s="8" t="n">
        <v>0</v>
      </c>
    </row>
    <row r="211">
      <c r="A211" s="8" t="inlineStr">
        <is>
          <t>ERY-T2020</t>
        </is>
      </c>
      <c r="B211" s="8" t="inlineStr">
        <is>
          <t>ERY-T3010</t>
        </is>
      </c>
      <c r="C211" s="8" t="inlineStr">
        <is>
          <t>FS</t>
        </is>
      </c>
      <c r="D211" s="8" t="n">
        <v>0</v>
      </c>
    </row>
    <row r="212">
      <c r="A212" s="8" t="inlineStr">
        <is>
          <t>ERY-E1140</t>
        </is>
      </c>
      <c r="B212" s="8" t="inlineStr">
        <is>
          <t>ERY-T3010</t>
        </is>
      </c>
      <c r="C212" s="8" t="inlineStr">
        <is>
          <t>FS</t>
        </is>
      </c>
      <c r="D212" s="8" t="n">
        <v>0</v>
      </c>
    </row>
    <row r="213">
      <c r="A213" s="8" t="inlineStr">
        <is>
          <t>ERY-T3010</t>
        </is>
      </c>
      <c r="B213" s="8" t="inlineStr">
        <is>
          <t>ERY-T3100</t>
        </is>
      </c>
      <c r="C213" s="8" t="inlineStr">
        <is>
          <t>FS</t>
        </is>
      </c>
      <c r="D213" s="8" t="n">
        <v>0</v>
      </c>
    </row>
    <row r="214">
      <c r="A214" s="8" t="inlineStr">
        <is>
          <t>PRJ-A1060</t>
        </is>
      </c>
      <c r="B214" s="8" t="inlineStr">
        <is>
          <t>HJD-E1010</t>
        </is>
      </c>
      <c r="C214" s="8" t="inlineStr">
        <is>
          <t>FS</t>
        </is>
      </c>
      <c r="D214" s="8" t="n">
        <v>0</v>
      </c>
    </row>
    <row r="215">
      <c r="A215" s="8" t="inlineStr">
        <is>
          <t>PRJ-M1150</t>
        </is>
      </c>
      <c r="B215" s="8" t="inlineStr">
        <is>
          <t>HJD-E1010</t>
        </is>
      </c>
      <c r="C215" s="8" t="inlineStr">
        <is>
          <t>FS</t>
        </is>
      </c>
      <c r="D215" s="8" t="n">
        <v>38</v>
      </c>
    </row>
    <row r="216">
      <c r="A216" s="8" t="inlineStr">
        <is>
          <t>HJD-E1010</t>
        </is>
      </c>
      <c r="B216" s="8" t="inlineStr">
        <is>
          <t>HJD-E1020</t>
        </is>
      </c>
      <c r="C216" s="8" t="inlineStr">
        <is>
          <t>FS</t>
        </is>
      </c>
      <c r="D216" s="8" t="n">
        <v>0</v>
      </c>
    </row>
    <row r="217">
      <c r="A217" s="8" t="inlineStr">
        <is>
          <t>HJD-E1010</t>
        </is>
      </c>
      <c r="B217" s="8" t="inlineStr">
        <is>
          <t>HJD-E1030</t>
        </is>
      </c>
      <c r="C217" s="8" t="inlineStr">
        <is>
          <t>FS</t>
        </is>
      </c>
      <c r="D217" s="8" t="n">
        <v>0</v>
      </c>
    </row>
    <row r="218">
      <c r="A218" s="8" t="inlineStr">
        <is>
          <t>HJD-E1030</t>
        </is>
      </c>
      <c r="B218" s="8" t="inlineStr">
        <is>
          <t>HJD-E1040</t>
        </is>
      </c>
      <c r="C218" s="8" t="inlineStr">
        <is>
          <t>FS</t>
        </is>
      </c>
      <c r="D218" s="8" t="n">
        <v>0</v>
      </c>
    </row>
    <row r="219">
      <c r="A219" s="8" t="inlineStr">
        <is>
          <t>HJD-E1030</t>
        </is>
      </c>
      <c r="B219" s="8" t="inlineStr">
        <is>
          <t>HJD-E1050</t>
        </is>
      </c>
      <c r="C219" s="8" t="inlineStr">
        <is>
          <t>FS</t>
        </is>
      </c>
      <c r="D219" s="8" t="n">
        <v>0</v>
      </c>
    </row>
    <row r="220">
      <c r="A220" s="8" t="inlineStr">
        <is>
          <t>HJD-E1050</t>
        </is>
      </c>
      <c r="B220" s="8" t="inlineStr">
        <is>
          <t>HJD-E1060</t>
        </is>
      </c>
      <c r="C220" s="8" t="inlineStr">
        <is>
          <t>FS</t>
        </is>
      </c>
      <c r="D220" s="8" t="n">
        <v>0</v>
      </c>
    </row>
    <row r="221">
      <c r="A221" s="8" t="inlineStr">
        <is>
          <t>HJD-E1050</t>
        </is>
      </c>
      <c r="B221" s="8" t="inlineStr">
        <is>
          <t>HJD-E1070</t>
        </is>
      </c>
      <c r="C221" s="8" t="inlineStr">
        <is>
          <t>FS</t>
        </is>
      </c>
      <c r="D221" s="8" t="n">
        <v>0</v>
      </c>
    </row>
    <row r="222">
      <c r="A222" s="8" t="inlineStr">
        <is>
          <t>HJD-E1070</t>
        </is>
      </c>
      <c r="B222" s="8" t="inlineStr">
        <is>
          <t>HJD-E1080</t>
        </is>
      </c>
      <c r="C222" s="8" t="inlineStr">
        <is>
          <t>FS</t>
        </is>
      </c>
      <c r="D222" s="8" t="n">
        <v>0</v>
      </c>
    </row>
    <row r="223">
      <c r="A223" s="8" t="inlineStr">
        <is>
          <t>HJD-E1070</t>
        </is>
      </c>
      <c r="B223" s="8" t="inlineStr">
        <is>
          <t>HJD-E1090</t>
        </is>
      </c>
      <c r="C223" s="8" t="inlineStr">
        <is>
          <t>FS</t>
        </is>
      </c>
      <c r="D223" s="8" t="n">
        <v>0</v>
      </c>
    </row>
    <row r="224">
      <c r="A224" s="8" t="inlineStr">
        <is>
          <t>HJD-E1090</t>
        </is>
      </c>
      <c r="B224" s="8" t="inlineStr">
        <is>
          <t>HJD-E1100</t>
        </is>
      </c>
      <c r="C224" s="8" t="inlineStr">
        <is>
          <t>FS</t>
        </is>
      </c>
      <c r="D224" s="8" t="n">
        <v>0</v>
      </c>
    </row>
    <row r="225">
      <c r="A225" s="8" t="inlineStr">
        <is>
          <t>HJD-E1050</t>
        </is>
      </c>
      <c r="B225" s="8" t="inlineStr">
        <is>
          <t>HJD-E1110</t>
        </is>
      </c>
      <c r="C225" s="8" t="inlineStr">
        <is>
          <t>FS</t>
        </is>
      </c>
      <c r="D225" s="8" t="n">
        <v>6</v>
      </c>
    </row>
    <row r="226">
      <c r="A226" s="8" t="inlineStr">
        <is>
          <t>HJD-E1090</t>
        </is>
      </c>
      <c r="B226" s="8" t="inlineStr">
        <is>
          <t>HJD-E1110</t>
        </is>
      </c>
      <c r="C226" s="8" t="inlineStr">
        <is>
          <t>FF</t>
        </is>
      </c>
      <c r="D226" s="8" t="n">
        <v>0</v>
      </c>
    </row>
    <row r="227">
      <c r="A227" s="8" t="inlineStr">
        <is>
          <t>HJD-E1110</t>
        </is>
      </c>
      <c r="B227" s="8" t="inlineStr">
        <is>
          <t>HJD-E1120</t>
        </is>
      </c>
      <c r="C227" s="8" t="inlineStr">
        <is>
          <t>FS</t>
        </is>
      </c>
      <c r="D227" s="8" t="n">
        <v>0</v>
      </c>
    </row>
    <row r="228">
      <c r="A228" s="8" t="inlineStr">
        <is>
          <t>HJD-E1090</t>
        </is>
      </c>
      <c r="B228" s="8" t="inlineStr">
        <is>
          <t>HJD-E1200</t>
        </is>
      </c>
      <c r="C228" s="8" t="inlineStr">
        <is>
          <t>FS</t>
        </is>
      </c>
      <c r="D228" s="8" t="n">
        <v>0</v>
      </c>
    </row>
    <row r="229">
      <c r="A229" s="8" t="inlineStr">
        <is>
          <t>HJD-E1110</t>
        </is>
      </c>
      <c r="B229" s="8" t="inlineStr">
        <is>
          <t>HJD-E1200</t>
        </is>
      </c>
      <c r="C229" s="8" t="inlineStr">
        <is>
          <t>FS</t>
        </is>
      </c>
      <c r="D229" s="8" t="n">
        <v>0</v>
      </c>
    </row>
    <row r="230">
      <c r="A230" s="8" t="inlineStr">
        <is>
          <t>HJD-E1020</t>
        </is>
      </c>
      <c r="B230" s="8" t="inlineStr">
        <is>
          <t>HJD-E1210</t>
        </is>
      </c>
      <c r="C230" s="8" t="inlineStr">
        <is>
          <t>FS</t>
        </is>
      </c>
      <c r="D230" s="8" t="n">
        <v>0</v>
      </c>
    </row>
    <row r="231">
      <c r="A231" s="8" t="inlineStr">
        <is>
          <t>HJD-E1040</t>
        </is>
      </c>
      <c r="B231" s="8" t="inlineStr">
        <is>
          <t>HJD-E1210</t>
        </is>
      </c>
      <c r="C231" s="8" t="inlineStr">
        <is>
          <t>FS</t>
        </is>
      </c>
      <c r="D231" s="8" t="n">
        <v>0</v>
      </c>
    </row>
    <row r="232">
      <c r="A232" s="8" t="inlineStr">
        <is>
          <t>HJD-E1060</t>
        </is>
      </c>
      <c r="B232" s="8" t="inlineStr">
        <is>
          <t>HJD-E1210</t>
        </is>
      </c>
      <c r="C232" s="8" t="inlineStr">
        <is>
          <t>FS</t>
        </is>
      </c>
      <c r="D232" s="8" t="n">
        <v>0</v>
      </c>
    </row>
    <row r="233">
      <c r="A233" s="8" t="inlineStr">
        <is>
          <t>HJD-E1080</t>
        </is>
      </c>
      <c r="B233" s="8" t="inlineStr">
        <is>
          <t>HJD-E1210</t>
        </is>
      </c>
      <c r="C233" s="8" t="inlineStr">
        <is>
          <t>FS</t>
        </is>
      </c>
      <c r="D233" s="8" t="n">
        <v>0</v>
      </c>
    </row>
    <row r="234">
      <c r="A234" s="8" t="inlineStr">
        <is>
          <t>HJD-E1100</t>
        </is>
      </c>
      <c r="B234" s="8" t="inlineStr">
        <is>
          <t>HJD-E1210</t>
        </is>
      </c>
      <c r="C234" s="8" t="inlineStr">
        <is>
          <t>FS</t>
        </is>
      </c>
      <c r="D234" s="8" t="n">
        <v>0</v>
      </c>
    </row>
    <row r="235">
      <c r="A235" s="8" t="inlineStr">
        <is>
          <t>HJD-E1120</t>
        </is>
      </c>
      <c r="B235" s="8" t="inlineStr">
        <is>
          <t>HJD-E1210</t>
        </is>
      </c>
      <c r="C235" s="8" t="inlineStr">
        <is>
          <t>FS</t>
        </is>
      </c>
      <c r="D235" s="8" t="n">
        <v>0</v>
      </c>
    </row>
    <row r="236">
      <c r="A236" s="8" t="inlineStr">
        <is>
          <t>HJD-E1200</t>
        </is>
      </c>
      <c r="B236" s="8" t="inlineStr">
        <is>
          <t>HJD-E1210</t>
        </is>
      </c>
      <c r="C236" s="8" t="inlineStr">
        <is>
          <t>FS</t>
        </is>
      </c>
      <c r="D236" s="8" t="n">
        <v>0</v>
      </c>
    </row>
    <row r="237">
      <c r="A237" s="8" t="inlineStr">
        <is>
          <t>HJD-E1210</t>
        </is>
      </c>
      <c r="B237" s="8" t="inlineStr">
        <is>
          <t>HJD-P1010</t>
        </is>
      </c>
      <c r="C237" s="8" t="inlineStr">
        <is>
          <t>FS</t>
        </is>
      </c>
      <c r="D237" s="8" t="n">
        <v>0</v>
      </c>
    </row>
    <row r="238">
      <c r="A238" s="8" t="inlineStr">
        <is>
          <t>HJD-E1210</t>
        </is>
      </c>
      <c r="B238" s="8" t="inlineStr">
        <is>
          <t>HJD-P1020</t>
        </is>
      </c>
      <c r="C238" s="8" t="inlineStr">
        <is>
          <t>FS</t>
        </is>
      </c>
      <c r="D238" s="8" t="n">
        <v>0</v>
      </c>
    </row>
    <row r="239">
      <c r="A239" s="8" t="inlineStr">
        <is>
          <t>HJD-E1210</t>
        </is>
      </c>
      <c r="B239" s="8" t="inlineStr">
        <is>
          <t>HJD-P1030</t>
        </is>
      </c>
      <c r="C239" s="8" t="inlineStr">
        <is>
          <t>FS</t>
        </is>
      </c>
      <c r="D239" s="8" t="n">
        <v>0</v>
      </c>
    </row>
    <row r="240">
      <c r="A240" s="8" t="inlineStr">
        <is>
          <t>HJD-E1210</t>
        </is>
      </c>
      <c r="B240" s="8" t="inlineStr">
        <is>
          <t>HJD-P1040</t>
        </is>
      </c>
      <c r="C240" s="8" t="inlineStr">
        <is>
          <t>FS</t>
        </is>
      </c>
      <c r="D240" s="8" t="n">
        <v>0</v>
      </c>
    </row>
    <row r="241">
      <c r="A241" s="8" t="inlineStr">
        <is>
          <t>HJD-P1010</t>
        </is>
      </c>
      <c r="B241" s="8" t="inlineStr">
        <is>
          <t>HJD-P1050</t>
        </is>
      </c>
      <c r="C241" s="8" t="inlineStr">
        <is>
          <t>FS</t>
        </is>
      </c>
      <c r="D241" s="8" t="n">
        <v>0</v>
      </c>
    </row>
    <row r="242">
      <c r="A242" s="8" t="inlineStr">
        <is>
          <t>HJD-P1020</t>
        </is>
      </c>
      <c r="B242" s="8" t="inlineStr">
        <is>
          <t>HJD-P1050</t>
        </is>
      </c>
      <c r="C242" s="8" t="inlineStr">
        <is>
          <t>FS</t>
        </is>
      </c>
      <c r="D242" s="8" t="n">
        <v>0</v>
      </c>
    </row>
    <row r="243">
      <c r="A243" s="8" t="inlineStr">
        <is>
          <t>HJD-P1030</t>
        </is>
      </c>
      <c r="B243" s="8" t="inlineStr">
        <is>
          <t>HJD-P1050</t>
        </is>
      </c>
      <c r="C243" s="8" t="inlineStr">
        <is>
          <t>FS</t>
        </is>
      </c>
      <c r="D243" s="8" t="n">
        <v>0</v>
      </c>
    </row>
    <row r="244">
      <c r="A244" s="8" t="inlineStr">
        <is>
          <t>HJD-P1040</t>
        </is>
      </c>
      <c r="B244" s="8" t="inlineStr">
        <is>
          <t>HJD-P1050</t>
        </is>
      </c>
      <c r="C244" s="8" t="inlineStr">
        <is>
          <t>FS</t>
        </is>
      </c>
      <c r="D244" s="8" t="n">
        <v>0</v>
      </c>
    </row>
    <row r="245">
      <c r="A245" s="8" t="inlineStr">
        <is>
          <t>HJD-P1050</t>
        </is>
      </c>
      <c r="B245" s="8" t="inlineStr">
        <is>
          <t>HJD-P1060</t>
        </is>
      </c>
      <c r="C245" s="8" t="inlineStr">
        <is>
          <t>FS</t>
        </is>
      </c>
      <c r="D245" s="8" t="n">
        <v>0</v>
      </c>
    </row>
    <row r="246">
      <c r="A246" s="8" t="inlineStr">
        <is>
          <t>HJD-P1060</t>
        </is>
      </c>
      <c r="B246" s="8" t="inlineStr">
        <is>
          <t>HJD-P1070</t>
        </is>
      </c>
      <c r="C246" s="8" t="inlineStr">
        <is>
          <t>FS</t>
        </is>
      </c>
      <c r="D246" s="8" t="n">
        <v>0</v>
      </c>
    </row>
    <row r="247">
      <c r="A247" s="8" t="inlineStr">
        <is>
          <t>HJD-P1070</t>
        </is>
      </c>
      <c r="B247" s="8" t="inlineStr">
        <is>
          <t>HJD-P1100</t>
        </is>
      </c>
      <c r="C247" s="8" t="inlineStr">
        <is>
          <t>FS</t>
        </is>
      </c>
      <c r="D247" s="8" t="n">
        <v>0</v>
      </c>
    </row>
    <row r="248">
      <c r="A248" s="8" t="inlineStr">
        <is>
          <t>HJD-P1100</t>
        </is>
      </c>
      <c r="B248" s="8" t="inlineStr">
        <is>
          <t>HJD-C2010</t>
        </is>
      </c>
      <c r="C248" s="8" t="inlineStr">
        <is>
          <t>FS</t>
        </is>
      </c>
      <c r="D248" s="8" t="n">
        <v>0</v>
      </c>
    </row>
    <row r="249">
      <c r="A249" s="8" t="inlineStr">
        <is>
          <t>HJD-E1120</t>
        </is>
      </c>
      <c r="B249" s="8" t="inlineStr">
        <is>
          <t>HJD-X1010</t>
        </is>
      </c>
      <c r="C249" s="8" t="inlineStr">
        <is>
          <t>FS</t>
        </is>
      </c>
      <c r="D249" s="8" t="n">
        <v>0</v>
      </c>
    </row>
    <row r="250">
      <c r="A250" s="8" t="inlineStr">
        <is>
          <t>HJD-X1010</t>
        </is>
      </c>
      <c r="B250" s="8" t="inlineStr">
        <is>
          <t>HJD-X1020</t>
        </is>
      </c>
      <c r="C250" s="8" t="inlineStr">
        <is>
          <t>FS</t>
        </is>
      </c>
      <c r="D250" s="8" t="n">
        <v>0</v>
      </c>
    </row>
    <row r="251">
      <c r="A251" s="8" t="inlineStr">
        <is>
          <t>HJD-X1020</t>
        </is>
      </c>
      <c r="B251" s="8" t="inlineStr">
        <is>
          <t>HJD-C1010</t>
        </is>
      </c>
      <c r="C251" s="8" t="inlineStr">
        <is>
          <t>FS</t>
        </is>
      </c>
      <c r="D251" s="8" t="n">
        <v>0</v>
      </c>
    </row>
    <row r="252">
      <c r="A252" s="8" t="inlineStr">
        <is>
          <t>HJD-C2010</t>
        </is>
      </c>
      <c r="B252" s="8" t="inlineStr">
        <is>
          <t>HJD-C2020</t>
        </is>
      </c>
      <c r="C252" s="8" t="inlineStr">
        <is>
          <t>SS</t>
        </is>
      </c>
      <c r="D252" s="8" t="n">
        <v>7</v>
      </c>
    </row>
    <row r="253">
      <c r="A253" s="8" t="inlineStr">
        <is>
          <t>HJD-C1010</t>
        </is>
      </c>
      <c r="B253" s="8" t="inlineStr">
        <is>
          <t>HJD-C2020</t>
        </is>
      </c>
      <c r="C253" s="8" t="inlineStr">
        <is>
          <t>SS</t>
        </is>
      </c>
      <c r="D253" s="8" t="n">
        <v>32</v>
      </c>
    </row>
    <row r="254">
      <c r="A254" s="8" t="inlineStr">
        <is>
          <t>HJD-C1010</t>
        </is>
      </c>
      <c r="B254" s="8" t="inlineStr">
        <is>
          <t>HJD-C1020</t>
        </is>
      </c>
      <c r="C254" s="8" t="inlineStr">
        <is>
          <t>SS</t>
        </is>
      </c>
      <c r="D254" s="8" t="n">
        <v>28</v>
      </c>
    </row>
    <row r="255">
      <c r="A255" s="8" t="inlineStr">
        <is>
          <t>HJD-C2020</t>
        </is>
      </c>
      <c r="B255" s="8" t="inlineStr">
        <is>
          <t>HJD-C2030</t>
        </is>
      </c>
      <c r="C255" s="8" t="inlineStr">
        <is>
          <t>FS</t>
        </is>
      </c>
      <c r="D255" s="8" t="n">
        <v>0</v>
      </c>
    </row>
    <row r="256">
      <c r="A256" s="8" t="inlineStr">
        <is>
          <t>HJD-C1020</t>
        </is>
      </c>
      <c r="B256" s="8" t="inlineStr">
        <is>
          <t>HJD-C2030</t>
        </is>
      </c>
      <c r="C256" s="8" t="inlineStr">
        <is>
          <t>FS</t>
        </is>
      </c>
      <c r="D256" s="8" t="n">
        <v>0</v>
      </c>
    </row>
    <row r="257">
      <c r="A257" s="8" t="inlineStr">
        <is>
          <t>HJD-C2010</t>
        </is>
      </c>
      <c r="B257" s="8" t="inlineStr">
        <is>
          <t>HJD-C2040</t>
        </is>
      </c>
      <c r="C257" s="8" t="inlineStr">
        <is>
          <t>FS</t>
        </is>
      </c>
      <c r="D257" s="8" t="n">
        <v>0</v>
      </c>
    </row>
    <row r="258">
      <c r="A258" s="8" t="inlineStr">
        <is>
          <t>HJD-C2010</t>
        </is>
      </c>
      <c r="B258" s="8" t="inlineStr">
        <is>
          <t>HJD-C2050</t>
        </is>
      </c>
      <c r="C258" s="8" t="inlineStr">
        <is>
          <t>FS</t>
        </is>
      </c>
      <c r="D258" s="8" t="n">
        <v>7</v>
      </c>
    </row>
    <row r="259">
      <c r="A259" s="8" t="inlineStr">
        <is>
          <t>HJD-C2020</t>
        </is>
      </c>
      <c r="B259" s="8" t="inlineStr">
        <is>
          <t>HJD-C2100</t>
        </is>
      </c>
      <c r="C259" s="8" t="inlineStr">
        <is>
          <t>FS</t>
        </is>
      </c>
      <c r="D259" s="8" t="n">
        <v>0</v>
      </c>
    </row>
    <row r="260">
      <c r="A260" s="8" t="inlineStr">
        <is>
          <t>HJD-C2030</t>
        </is>
      </c>
      <c r="B260" s="8" t="inlineStr">
        <is>
          <t>HJD-C2100</t>
        </is>
      </c>
      <c r="C260" s="8" t="inlineStr">
        <is>
          <t>FS</t>
        </is>
      </c>
      <c r="D260" s="8" t="n">
        <v>0</v>
      </c>
    </row>
    <row r="261">
      <c r="A261" s="8" t="inlineStr">
        <is>
          <t>HJD-C2040</t>
        </is>
      </c>
      <c r="B261" s="8" t="inlineStr">
        <is>
          <t>HJD-C2100</t>
        </is>
      </c>
      <c r="C261" s="8" t="inlineStr">
        <is>
          <t>FS</t>
        </is>
      </c>
      <c r="D261" s="8" t="n">
        <v>0</v>
      </c>
    </row>
    <row r="262">
      <c r="A262" s="8" t="inlineStr">
        <is>
          <t>HJD-C2050</t>
        </is>
      </c>
      <c r="B262" s="8" t="inlineStr">
        <is>
          <t>HJD-C2100</t>
        </is>
      </c>
      <c r="C262" s="8" t="inlineStr">
        <is>
          <t>FS</t>
        </is>
      </c>
      <c r="D262" s="8" t="n">
        <v>0</v>
      </c>
    </row>
    <row r="263">
      <c r="A263" s="8" t="inlineStr">
        <is>
          <t>HJD-C1020</t>
        </is>
      </c>
      <c r="B263" s="8" t="inlineStr">
        <is>
          <t>HJD-C2100</t>
        </is>
      </c>
      <c r="C263" s="8" t="inlineStr">
        <is>
          <t>FS</t>
        </is>
      </c>
      <c r="D263" s="8" t="n">
        <v>0</v>
      </c>
    </row>
    <row r="264">
      <c r="A264" s="8" t="inlineStr">
        <is>
          <t>HJD-C2100</t>
        </is>
      </c>
      <c r="B264" s="8" t="inlineStr">
        <is>
          <t>HJD-T1010</t>
        </is>
      </c>
      <c r="C264" s="8" t="inlineStr">
        <is>
          <t>FS</t>
        </is>
      </c>
      <c r="D264" s="8" t="n">
        <v>0</v>
      </c>
    </row>
    <row r="265">
      <c r="A265" s="8" t="inlineStr">
        <is>
          <t>HJD-T1010</t>
        </is>
      </c>
      <c r="B265" s="8" t="inlineStr">
        <is>
          <t>HJD-T1020</t>
        </is>
      </c>
      <c r="C265" s="8" t="inlineStr">
        <is>
          <t>FS</t>
        </is>
      </c>
      <c r="D265" s="8" t="n">
        <v>0</v>
      </c>
    </row>
    <row r="266">
      <c r="A266" s="8" t="inlineStr">
        <is>
          <t>HJD-T1020</t>
        </is>
      </c>
      <c r="B266" s="8" t="inlineStr">
        <is>
          <t>HJD-T1100</t>
        </is>
      </c>
      <c r="C266" s="8" t="inlineStr">
        <is>
          <t>FS</t>
        </is>
      </c>
      <c r="D266" s="8" t="n">
        <v>0</v>
      </c>
    </row>
    <row r="267">
      <c r="A267" s="8" t="inlineStr">
        <is>
          <t>HJD-T1020</t>
        </is>
      </c>
      <c r="B267" s="8" t="inlineStr">
        <is>
          <t>HJD-T2010</t>
        </is>
      </c>
      <c r="C267" s="8" t="inlineStr">
        <is>
          <t>FS</t>
        </is>
      </c>
      <c r="D267" s="8" t="n">
        <v>0</v>
      </c>
    </row>
    <row r="268">
      <c r="A268" s="8" t="inlineStr">
        <is>
          <t>HJD-T1020</t>
        </is>
      </c>
      <c r="B268" s="8" t="inlineStr">
        <is>
          <t>HJD-T2020</t>
        </is>
      </c>
      <c r="C268" s="8" t="inlineStr">
        <is>
          <t>FS</t>
        </is>
      </c>
      <c r="D268" s="8" t="n">
        <v>0</v>
      </c>
    </row>
    <row r="269">
      <c r="A269" s="8" t="inlineStr">
        <is>
          <t>HJD-C2100</t>
        </is>
      </c>
      <c r="B269" s="8" t="inlineStr">
        <is>
          <t>HJD-E1130</t>
        </is>
      </c>
      <c r="C269" s="8" t="inlineStr">
        <is>
          <t>FS</t>
        </is>
      </c>
      <c r="D269" s="8" t="n">
        <v>0</v>
      </c>
    </row>
    <row r="270">
      <c r="A270" s="8" t="inlineStr">
        <is>
          <t>HJD-E1130</t>
        </is>
      </c>
      <c r="B270" s="8" t="inlineStr">
        <is>
          <t>HJD-E1140</t>
        </is>
      </c>
      <c r="C270" s="8" t="inlineStr">
        <is>
          <t>FS</t>
        </is>
      </c>
      <c r="D270" s="8" t="n">
        <v>0</v>
      </c>
    </row>
    <row r="271">
      <c r="A271" s="8" t="inlineStr">
        <is>
          <t>HJD-T1100</t>
        </is>
      </c>
      <c r="B271" s="8" t="inlineStr">
        <is>
          <t>HJD-T3010</t>
        </is>
      </c>
      <c r="C271" s="8" t="inlineStr">
        <is>
          <t>FS</t>
        </is>
      </c>
      <c r="D271" s="8" t="n">
        <v>0</v>
      </c>
    </row>
    <row r="272">
      <c r="A272" s="8" t="inlineStr">
        <is>
          <t>HJD-T2010</t>
        </is>
      </c>
      <c r="B272" s="8" t="inlineStr">
        <is>
          <t>HJD-T3010</t>
        </is>
      </c>
      <c r="C272" s="8" t="inlineStr">
        <is>
          <t>FS</t>
        </is>
      </c>
      <c r="D272" s="8" t="n">
        <v>0</v>
      </c>
    </row>
    <row r="273">
      <c r="A273" s="8" t="inlineStr">
        <is>
          <t>HJD-T2020</t>
        </is>
      </c>
      <c r="B273" s="8" t="inlineStr">
        <is>
          <t>HJD-T3010</t>
        </is>
      </c>
      <c r="C273" s="8" t="inlineStr">
        <is>
          <t>FS</t>
        </is>
      </c>
      <c r="D273" s="8" t="n">
        <v>0</v>
      </c>
    </row>
    <row r="274">
      <c r="A274" s="8" t="inlineStr">
        <is>
          <t>HJD-E1140</t>
        </is>
      </c>
      <c r="B274" s="8" t="inlineStr">
        <is>
          <t>HJD-T3010</t>
        </is>
      </c>
      <c r="C274" s="8" t="inlineStr">
        <is>
          <t>FS</t>
        </is>
      </c>
      <c r="D274" s="8" t="n">
        <v>0</v>
      </c>
    </row>
    <row r="275">
      <c r="A275" s="8" t="inlineStr">
        <is>
          <t>HJD-T3010</t>
        </is>
      </c>
      <c r="B275" s="8" t="inlineStr">
        <is>
          <t>HJD-T3100</t>
        </is>
      </c>
      <c r="C275" s="8" t="inlineStr">
        <is>
          <t>FS</t>
        </is>
      </c>
      <c r="D275" s="8" t="n">
        <v>0</v>
      </c>
    </row>
    <row r="276">
      <c r="A276" s="8" t="inlineStr">
        <is>
          <t>PRJ-A1060</t>
        </is>
      </c>
      <c r="B276" s="8" t="inlineStr">
        <is>
          <t>EDM-E1010</t>
        </is>
      </c>
      <c r="C276" s="8" t="inlineStr">
        <is>
          <t>FS</t>
        </is>
      </c>
      <c r="D276" s="8" t="n">
        <v>0</v>
      </c>
    </row>
    <row r="277">
      <c r="A277" s="8" t="inlineStr">
        <is>
          <t>PRJ-M1150</t>
        </is>
      </c>
      <c r="B277" s="8" t="inlineStr">
        <is>
          <t>EDM-E1010</t>
        </is>
      </c>
      <c r="C277" s="8" t="inlineStr">
        <is>
          <t>FS</t>
        </is>
      </c>
      <c r="D277" s="8" t="n">
        <v>104</v>
      </c>
    </row>
    <row r="278">
      <c r="A278" s="8" t="inlineStr">
        <is>
          <t>EDM-E1010</t>
        </is>
      </c>
      <c r="B278" s="8" t="inlineStr">
        <is>
          <t>EDM-E1020</t>
        </is>
      </c>
      <c r="C278" s="8" t="inlineStr">
        <is>
          <t>FS</t>
        </is>
      </c>
      <c r="D278" s="8" t="n">
        <v>0</v>
      </c>
    </row>
    <row r="279">
      <c r="A279" s="8" t="inlineStr">
        <is>
          <t>EDM-E1010</t>
        </is>
      </c>
      <c r="B279" s="8" t="inlineStr">
        <is>
          <t>EDM-E1030</t>
        </is>
      </c>
      <c r="C279" s="8" t="inlineStr">
        <is>
          <t>FS</t>
        </is>
      </c>
      <c r="D279" s="8" t="n">
        <v>0</v>
      </c>
    </row>
    <row r="280">
      <c r="A280" s="8" t="inlineStr">
        <is>
          <t>EDM-E1030</t>
        </is>
      </c>
      <c r="B280" s="8" t="inlineStr">
        <is>
          <t>EDM-E1040</t>
        </is>
      </c>
      <c r="C280" s="8" t="inlineStr">
        <is>
          <t>FS</t>
        </is>
      </c>
      <c r="D280" s="8" t="n">
        <v>0</v>
      </c>
    </row>
    <row r="281">
      <c r="A281" s="8" t="inlineStr">
        <is>
          <t>EDM-E1030</t>
        </is>
      </c>
      <c r="B281" s="8" t="inlineStr">
        <is>
          <t>EDM-E1050</t>
        </is>
      </c>
      <c r="C281" s="8" t="inlineStr">
        <is>
          <t>FS</t>
        </is>
      </c>
      <c r="D281" s="8" t="n">
        <v>0</v>
      </c>
    </row>
    <row r="282">
      <c r="A282" s="8" t="inlineStr">
        <is>
          <t>EDM-E1050</t>
        </is>
      </c>
      <c r="B282" s="8" t="inlineStr">
        <is>
          <t>EDM-E1060</t>
        </is>
      </c>
      <c r="C282" s="8" t="inlineStr">
        <is>
          <t>FS</t>
        </is>
      </c>
      <c r="D282" s="8" t="n">
        <v>0</v>
      </c>
    </row>
    <row r="283">
      <c r="A283" s="8" t="inlineStr">
        <is>
          <t>EDM-E1050</t>
        </is>
      </c>
      <c r="B283" s="8" t="inlineStr">
        <is>
          <t>EDM-E1070</t>
        </is>
      </c>
      <c r="C283" s="8" t="inlineStr">
        <is>
          <t>FS</t>
        </is>
      </c>
      <c r="D283" s="8" t="n">
        <v>0</v>
      </c>
    </row>
    <row r="284">
      <c r="A284" s="8" t="inlineStr">
        <is>
          <t>EDM-E1070</t>
        </is>
      </c>
      <c r="B284" s="8" t="inlineStr">
        <is>
          <t>EDM-E1080</t>
        </is>
      </c>
      <c r="C284" s="8" t="inlineStr">
        <is>
          <t>FS</t>
        </is>
      </c>
      <c r="D284" s="8" t="n">
        <v>0</v>
      </c>
    </row>
    <row r="285">
      <c r="A285" s="8" t="inlineStr">
        <is>
          <t>EDM-E1070</t>
        </is>
      </c>
      <c r="B285" s="8" t="inlineStr">
        <is>
          <t>EDM-E1090</t>
        </is>
      </c>
      <c r="C285" s="8" t="inlineStr">
        <is>
          <t>FS</t>
        </is>
      </c>
      <c r="D285" s="8" t="n">
        <v>0</v>
      </c>
    </row>
    <row r="286">
      <c r="A286" s="8" t="inlineStr">
        <is>
          <t>EDM-E1090</t>
        </is>
      </c>
      <c r="B286" s="8" t="inlineStr">
        <is>
          <t>EDM-E1100</t>
        </is>
      </c>
      <c r="C286" s="8" t="inlineStr">
        <is>
          <t>FS</t>
        </is>
      </c>
      <c r="D286" s="8" t="n">
        <v>0</v>
      </c>
    </row>
    <row r="287">
      <c r="A287" s="8" t="inlineStr">
        <is>
          <t>EDM-E1050</t>
        </is>
      </c>
      <c r="B287" s="8" t="inlineStr">
        <is>
          <t>EDM-E1110</t>
        </is>
      </c>
      <c r="C287" s="8" t="inlineStr">
        <is>
          <t>FS</t>
        </is>
      </c>
      <c r="D287" s="8" t="n">
        <v>10</v>
      </c>
    </row>
    <row r="288">
      <c r="A288" s="8" t="inlineStr">
        <is>
          <t>EDM-E1090</t>
        </is>
      </c>
      <c r="B288" s="8" t="inlineStr">
        <is>
          <t>EDM-E1110</t>
        </is>
      </c>
      <c r="C288" s="8" t="inlineStr">
        <is>
          <t>FF</t>
        </is>
      </c>
      <c r="D288" s="8" t="n">
        <v>0</v>
      </c>
    </row>
    <row r="289">
      <c r="A289" s="8" t="inlineStr">
        <is>
          <t>EDM-E1110</t>
        </is>
      </c>
      <c r="B289" s="8" t="inlineStr">
        <is>
          <t>EDM-E1120</t>
        </is>
      </c>
      <c r="C289" s="8" t="inlineStr">
        <is>
          <t>FS</t>
        </is>
      </c>
      <c r="D289" s="8" t="n">
        <v>0</v>
      </c>
    </row>
    <row r="290">
      <c r="A290" s="8" t="inlineStr">
        <is>
          <t>EDM-E1090</t>
        </is>
      </c>
      <c r="B290" s="8" t="inlineStr">
        <is>
          <t>EDM-E1200</t>
        </is>
      </c>
      <c r="C290" s="8" t="inlineStr">
        <is>
          <t>FS</t>
        </is>
      </c>
      <c r="D290" s="8" t="n">
        <v>0</v>
      </c>
    </row>
    <row r="291">
      <c r="A291" s="8" t="inlineStr">
        <is>
          <t>EDM-E1110</t>
        </is>
      </c>
      <c r="B291" s="8" t="inlineStr">
        <is>
          <t>EDM-E1200</t>
        </is>
      </c>
      <c r="C291" s="8" t="inlineStr">
        <is>
          <t>FS</t>
        </is>
      </c>
      <c r="D291" s="8" t="n">
        <v>0</v>
      </c>
    </row>
    <row r="292">
      <c r="A292" s="8" t="inlineStr">
        <is>
          <t>EDM-E1020</t>
        </is>
      </c>
      <c r="B292" s="8" t="inlineStr">
        <is>
          <t>EDM-E1210</t>
        </is>
      </c>
      <c r="C292" s="8" t="inlineStr">
        <is>
          <t>FS</t>
        </is>
      </c>
      <c r="D292" s="8" t="n">
        <v>0</v>
      </c>
    </row>
    <row r="293">
      <c r="A293" s="8" t="inlineStr">
        <is>
          <t>EDM-E1040</t>
        </is>
      </c>
      <c r="B293" s="8" t="inlineStr">
        <is>
          <t>EDM-E1210</t>
        </is>
      </c>
      <c r="C293" s="8" t="inlineStr">
        <is>
          <t>FS</t>
        </is>
      </c>
      <c r="D293" s="8" t="n">
        <v>0</v>
      </c>
    </row>
    <row r="294">
      <c r="A294" s="8" t="inlineStr">
        <is>
          <t>EDM-E1060</t>
        </is>
      </c>
      <c r="B294" s="8" t="inlineStr">
        <is>
          <t>EDM-E1210</t>
        </is>
      </c>
      <c r="C294" s="8" t="inlineStr">
        <is>
          <t>FS</t>
        </is>
      </c>
      <c r="D294" s="8" t="n">
        <v>0</v>
      </c>
    </row>
    <row r="295">
      <c r="A295" s="8" t="inlineStr">
        <is>
          <t>EDM-E1080</t>
        </is>
      </c>
      <c r="B295" s="8" t="inlineStr">
        <is>
          <t>EDM-E1210</t>
        </is>
      </c>
      <c r="C295" s="8" t="inlineStr">
        <is>
          <t>FS</t>
        </is>
      </c>
      <c r="D295" s="8" t="n">
        <v>0</v>
      </c>
    </row>
    <row r="296">
      <c r="A296" s="8" t="inlineStr">
        <is>
          <t>EDM-E1100</t>
        </is>
      </c>
      <c r="B296" s="8" t="inlineStr">
        <is>
          <t>EDM-E1210</t>
        </is>
      </c>
      <c r="C296" s="8" t="inlineStr">
        <is>
          <t>FS</t>
        </is>
      </c>
      <c r="D296" s="8" t="n">
        <v>0</v>
      </c>
    </row>
    <row r="297">
      <c r="A297" s="8" t="inlineStr">
        <is>
          <t>EDM-E1120</t>
        </is>
      </c>
      <c r="B297" s="8" t="inlineStr">
        <is>
          <t>EDM-E1210</t>
        </is>
      </c>
      <c r="C297" s="8" t="inlineStr">
        <is>
          <t>FS</t>
        </is>
      </c>
      <c r="D297" s="8" t="n">
        <v>0</v>
      </c>
    </row>
    <row r="298">
      <c r="A298" s="8" t="inlineStr">
        <is>
          <t>EDM-E1200</t>
        </is>
      </c>
      <c r="B298" s="8" t="inlineStr">
        <is>
          <t>EDM-E1210</t>
        </is>
      </c>
      <c r="C298" s="8" t="inlineStr">
        <is>
          <t>FS</t>
        </is>
      </c>
      <c r="D298" s="8" t="n">
        <v>0</v>
      </c>
    </row>
    <row r="299">
      <c r="A299" s="8" t="inlineStr">
        <is>
          <t>EDM-E1210</t>
        </is>
      </c>
      <c r="B299" s="8" t="inlineStr">
        <is>
          <t>EDM-P1010</t>
        </is>
      </c>
      <c r="C299" s="8" t="inlineStr">
        <is>
          <t>FS</t>
        </is>
      </c>
      <c r="D299" s="8" t="n">
        <v>0</v>
      </c>
    </row>
    <row r="300">
      <c r="A300" s="8" t="inlineStr">
        <is>
          <t>EDM-E1210</t>
        </is>
      </c>
      <c r="B300" s="8" t="inlineStr">
        <is>
          <t>EDM-P1020</t>
        </is>
      </c>
      <c r="C300" s="8" t="inlineStr">
        <is>
          <t>FS</t>
        </is>
      </c>
      <c r="D300" s="8" t="n">
        <v>0</v>
      </c>
    </row>
    <row r="301">
      <c r="A301" s="8" t="inlineStr">
        <is>
          <t>EDM-E1210</t>
        </is>
      </c>
      <c r="B301" s="8" t="inlineStr">
        <is>
          <t>EDM-P1030</t>
        </is>
      </c>
      <c r="C301" s="8" t="inlineStr">
        <is>
          <t>FS</t>
        </is>
      </c>
      <c r="D301" s="8" t="n">
        <v>0</v>
      </c>
    </row>
    <row r="302">
      <c r="A302" s="8" t="inlineStr">
        <is>
          <t>EDM-E1210</t>
        </is>
      </c>
      <c r="B302" s="8" t="inlineStr">
        <is>
          <t>EDM-P1040</t>
        </is>
      </c>
      <c r="C302" s="8" t="inlineStr">
        <is>
          <t>FS</t>
        </is>
      </c>
      <c r="D302" s="8" t="n">
        <v>0</v>
      </c>
    </row>
    <row r="303">
      <c r="A303" s="8" t="inlineStr">
        <is>
          <t>EDM-P1010</t>
        </is>
      </c>
      <c r="B303" s="8" t="inlineStr">
        <is>
          <t>EDM-P1050</t>
        </is>
      </c>
      <c r="C303" s="8" t="inlineStr">
        <is>
          <t>FS</t>
        </is>
      </c>
      <c r="D303" s="8" t="n">
        <v>0</v>
      </c>
    </row>
    <row r="304">
      <c r="A304" s="8" t="inlineStr">
        <is>
          <t>EDM-P1020</t>
        </is>
      </c>
      <c r="B304" s="8" t="inlineStr">
        <is>
          <t>EDM-P1050</t>
        </is>
      </c>
      <c r="C304" s="8" t="inlineStr">
        <is>
          <t>FS</t>
        </is>
      </c>
      <c r="D304" s="8" t="n">
        <v>0</v>
      </c>
    </row>
    <row r="305">
      <c r="A305" s="8" t="inlineStr">
        <is>
          <t>EDM-P1030</t>
        </is>
      </c>
      <c r="B305" s="8" t="inlineStr">
        <is>
          <t>EDM-P1050</t>
        </is>
      </c>
      <c r="C305" s="8" t="inlineStr">
        <is>
          <t>FS</t>
        </is>
      </c>
      <c r="D305" s="8" t="n">
        <v>0</v>
      </c>
    </row>
    <row r="306">
      <c r="A306" s="8" t="inlineStr">
        <is>
          <t>EDM-P1040</t>
        </is>
      </c>
      <c r="B306" s="8" t="inlineStr">
        <is>
          <t>EDM-P1050</t>
        </is>
      </c>
      <c r="C306" s="8" t="inlineStr">
        <is>
          <t>FS</t>
        </is>
      </c>
      <c r="D306" s="8" t="n">
        <v>0</v>
      </c>
    </row>
    <row r="307">
      <c r="A307" s="8" t="inlineStr">
        <is>
          <t>EDM-P1050</t>
        </is>
      </c>
      <c r="B307" s="8" t="inlineStr">
        <is>
          <t>EDM-P1060</t>
        </is>
      </c>
      <c r="C307" s="8" t="inlineStr">
        <is>
          <t>FS</t>
        </is>
      </c>
      <c r="D307" s="8" t="n">
        <v>0</v>
      </c>
    </row>
    <row r="308">
      <c r="A308" s="8" t="inlineStr">
        <is>
          <t>EDM-P1060</t>
        </is>
      </c>
      <c r="B308" s="8" t="inlineStr">
        <is>
          <t>EDM-P1070</t>
        </is>
      </c>
      <c r="C308" s="8" t="inlineStr">
        <is>
          <t>FS</t>
        </is>
      </c>
      <c r="D308" s="8" t="n">
        <v>0</v>
      </c>
    </row>
    <row r="309">
      <c r="A309" s="8" t="inlineStr">
        <is>
          <t>EDM-P1070</t>
        </is>
      </c>
      <c r="B309" s="8" t="inlineStr">
        <is>
          <t>EDM-P1100</t>
        </is>
      </c>
      <c r="C309" s="8" t="inlineStr">
        <is>
          <t>FS</t>
        </is>
      </c>
      <c r="D309" s="8" t="n">
        <v>0</v>
      </c>
    </row>
    <row r="310">
      <c r="A310" s="8" t="inlineStr">
        <is>
          <t>EDM-P1100</t>
        </is>
      </c>
      <c r="B310" s="8" t="inlineStr">
        <is>
          <t>EDM-C2010</t>
        </is>
      </c>
      <c r="C310" s="8" t="inlineStr">
        <is>
          <t>FS</t>
        </is>
      </c>
      <c r="D310" s="8" t="n">
        <v>0</v>
      </c>
    </row>
    <row r="311">
      <c r="A311" s="8" t="inlineStr">
        <is>
          <t>EDM-E1120</t>
        </is>
      </c>
      <c r="B311" s="8" t="inlineStr">
        <is>
          <t>EDM-X1010</t>
        </is>
      </c>
      <c r="C311" s="8" t="inlineStr">
        <is>
          <t>FS</t>
        </is>
      </c>
      <c r="D311" s="8" t="n">
        <v>0</v>
      </c>
    </row>
    <row r="312">
      <c r="A312" s="8" t="inlineStr">
        <is>
          <t>EDM-X1010</t>
        </is>
      </c>
      <c r="B312" s="8" t="inlineStr">
        <is>
          <t>EDM-X1020</t>
        </is>
      </c>
      <c r="C312" s="8" t="inlineStr">
        <is>
          <t>FS</t>
        </is>
      </c>
      <c r="D312" s="8" t="n">
        <v>0</v>
      </c>
    </row>
    <row r="313">
      <c r="A313" s="8" t="inlineStr">
        <is>
          <t>EDM-X1020</t>
        </is>
      </c>
      <c r="B313" s="8" t="inlineStr">
        <is>
          <t>EDM-C1010</t>
        </is>
      </c>
      <c r="C313" s="8" t="inlineStr">
        <is>
          <t>FS</t>
        </is>
      </c>
      <c r="D313" s="8" t="n">
        <v>0</v>
      </c>
    </row>
    <row r="314">
      <c r="A314" s="8" t="inlineStr">
        <is>
          <t>EDM-C2010</t>
        </is>
      </c>
      <c r="B314" s="8" t="inlineStr">
        <is>
          <t>EDM-C2020</t>
        </is>
      </c>
      <c r="C314" s="8" t="inlineStr">
        <is>
          <t>SS</t>
        </is>
      </c>
      <c r="D314" s="8" t="n">
        <v>4</v>
      </c>
    </row>
    <row r="315">
      <c r="A315" s="8" t="inlineStr">
        <is>
          <t>EDM-C1010</t>
        </is>
      </c>
      <c r="B315" s="8" t="inlineStr">
        <is>
          <t>EDM-C2020</t>
        </is>
      </c>
      <c r="C315" s="8" t="inlineStr">
        <is>
          <t>SS</t>
        </is>
      </c>
      <c r="D315" s="8" t="n">
        <v>39</v>
      </c>
    </row>
    <row r="316">
      <c r="A316" s="8" t="inlineStr">
        <is>
          <t>EDM-C1010</t>
        </is>
      </c>
      <c r="B316" s="8" t="inlineStr">
        <is>
          <t>EDM-C1020</t>
        </is>
      </c>
      <c r="C316" s="8" t="inlineStr">
        <is>
          <t>SS</t>
        </is>
      </c>
      <c r="D316" s="8" t="n">
        <v>35</v>
      </c>
    </row>
    <row r="317">
      <c r="A317" s="8" t="inlineStr">
        <is>
          <t>EDM-C2020</t>
        </is>
      </c>
      <c r="B317" s="8" t="inlineStr">
        <is>
          <t>EDM-C2030</t>
        </is>
      </c>
      <c r="C317" s="8" t="inlineStr">
        <is>
          <t>FS</t>
        </is>
      </c>
      <c r="D317" s="8" t="n">
        <v>0</v>
      </c>
    </row>
    <row r="318">
      <c r="A318" s="8" t="inlineStr">
        <is>
          <t>EDM-C1020</t>
        </is>
      </c>
      <c r="B318" s="8" t="inlineStr">
        <is>
          <t>EDM-C2030</t>
        </is>
      </c>
      <c r="C318" s="8" t="inlineStr">
        <is>
          <t>FS</t>
        </is>
      </c>
      <c r="D318" s="8" t="n">
        <v>0</v>
      </c>
    </row>
    <row r="319">
      <c r="A319" s="8" t="inlineStr">
        <is>
          <t>EDM-C2010</t>
        </is>
      </c>
      <c r="B319" s="8" t="inlineStr">
        <is>
          <t>EDM-C2040</t>
        </is>
      </c>
      <c r="C319" s="8" t="inlineStr">
        <is>
          <t>FS</t>
        </is>
      </c>
      <c r="D319" s="8" t="n">
        <v>0</v>
      </c>
    </row>
    <row r="320">
      <c r="A320" s="8" t="inlineStr">
        <is>
          <t>EDM-C2010</t>
        </is>
      </c>
      <c r="B320" s="8" t="inlineStr">
        <is>
          <t>EDM-C2050</t>
        </is>
      </c>
      <c r="C320" s="8" t="inlineStr">
        <is>
          <t>FS</t>
        </is>
      </c>
      <c r="D320" s="8" t="n">
        <v>4</v>
      </c>
    </row>
    <row r="321">
      <c r="A321" s="8" t="inlineStr">
        <is>
          <t>EDM-C2020</t>
        </is>
      </c>
      <c r="B321" s="8" t="inlineStr">
        <is>
          <t>EDM-C2100</t>
        </is>
      </c>
      <c r="C321" s="8" t="inlineStr">
        <is>
          <t>FS</t>
        </is>
      </c>
      <c r="D321" s="8" t="n">
        <v>0</v>
      </c>
    </row>
    <row r="322">
      <c r="A322" s="8" t="inlineStr">
        <is>
          <t>EDM-C2030</t>
        </is>
      </c>
      <c r="B322" s="8" t="inlineStr">
        <is>
          <t>EDM-C2100</t>
        </is>
      </c>
      <c r="C322" s="8" t="inlineStr">
        <is>
          <t>FS</t>
        </is>
      </c>
      <c r="D322" s="8" t="n">
        <v>0</v>
      </c>
    </row>
    <row r="323">
      <c r="A323" s="8" t="inlineStr">
        <is>
          <t>EDM-C2040</t>
        </is>
      </c>
      <c r="B323" s="8" t="inlineStr">
        <is>
          <t>EDM-C2100</t>
        </is>
      </c>
      <c r="C323" s="8" t="inlineStr">
        <is>
          <t>FS</t>
        </is>
      </c>
      <c r="D323" s="8" t="n">
        <v>0</v>
      </c>
    </row>
    <row r="324">
      <c r="A324" s="8" t="inlineStr">
        <is>
          <t>EDM-C2050</t>
        </is>
      </c>
      <c r="B324" s="8" t="inlineStr">
        <is>
          <t>EDM-C2100</t>
        </is>
      </c>
      <c r="C324" s="8" t="inlineStr">
        <is>
          <t>FS</t>
        </is>
      </c>
      <c r="D324" s="8" t="n">
        <v>0</v>
      </c>
    </row>
    <row r="325">
      <c r="A325" s="8" t="inlineStr">
        <is>
          <t>EDM-C1020</t>
        </is>
      </c>
      <c r="B325" s="8" t="inlineStr">
        <is>
          <t>EDM-C2100</t>
        </is>
      </c>
      <c r="C325" s="8" t="inlineStr">
        <is>
          <t>FS</t>
        </is>
      </c>
      <c r="D325" s="8" t="n">
        <v>0</v>
      </c>
    </row>
    <row r="326">
      <c r="A326" s="8" t="inlineStr">
        <is>
          <t>EDM-C2100</t>
        </is>
      </c>
      <c r="B326" s="8" t="inlineStr">
        <is>
          <t>EDM-T1010</t>
        </is>
      </c>
      <c r="C326" s="8" t="inlineStr">
        <is>
          <t>FS</t>
        </is>
      </c>
      <c r="D326" s="8" t="n">
        <v>0</v>
      </c>
    </row>
    <row r="327">
      <c r="A327" s="8" t="inlineStr">
        <is>
          <t>EDM-T1010</t>
        </is>
      </c>
      <c r="B327" s="8" t="inlineStr">
        <is>
          <t>EDM-T1020</t>
        </is>
      </c>
      <c r="C327" s="8" t="inlineStr">
        <is>
          <t>FS</t>
        </is>
      </c>
      <c r="D327" s="8" t="n">
        <v>0</v>
      </c>
    </row>
    <row r="328">
      <c r="A328" s="8" t="inlineStr">
        <is>
          <t>EDM-T1020</t>
        </is>
      </c>
      <c r="B328" s="8" t="inlineStr">
        <is>
          <t>EDM-T1100</t>
        </is>
      </c>
      <c r="C328" s="8" t="inlineStr">
        <is>
          <t>FS</t>
        </is>
      </c>
      <c r="D328" s="8" t="n">
        <v>0</v>
      </c>
    </row>
    <row r="329">
      <c r="A329" s="8" t="inlineStr">
        <is>
          <t>EDM-T1020</t>
        </is>
      </c>
      <c r="B329" s="8" t="inlineStr">
        <is>
          <t>EDM-T2010</t>
        </is>
      </c>
      <c r="C329" s="8" t="inlineStr">
        <is>
          <t>FS</t>
        </is>
      </c>
      <c r="D329" s="8" t="n">
        <v>0</v>
      </c>
    </row>
    <row r="330">
      <c r="A330" s="8" t="inlineStr">
        <is>
          <t>EDM-T1020</t>
        </is>
      </c>
      <c r="B330" s="8" t="inlineStr">
        <is>
          <t>EDM-T2020</t>
        </is>
      </c>
      <c r="C330" s="8" t="inlineStr">
        <is>
          <t>FS</t>
        </is>
      </c>
      <c r="D330" s="8" t="n">
        <v>0</v>
      </c>
    </row>
    <row r="331">
      <c r="A331" s="8" t="inlineStr">
        <is>
          <t>EDM-C2100</t>
        </is>
      </c>
      <c r="B331" s="8" t="inlineStr">
        <is>
          <t>EDM-E1130</t>
        </is>
      </c>
      <c r="C331" s="8" t="inlineStr">
        <is>
          <t>FS</t>
        </is>
      </c>
      <c r="D331" s="8" t="n">
        <v>0</v>
      </c>
    </row>
    <row r="332">
      <c r="A332" s="8" t="inlineStr">
        <is>
          <t>EDM-E1130</t>
        </is>
      </c>
      <c r="B332" s="8" t="inlineStr">
        <is>
          <t>EDM-E1140</t>
        </is>
      </c>
      <c r="C332" s="8" t="inlineStr">
        <is>
          <t>FS</t>
        </is>
      </c>
      <c r="D332" s="8" t="n">
        <v>0</v>
      </c>
    </row>
    <row r="333">
      <c r="A333" s="8" t="inlineStr">
        <is>
          <t>EDM-T1100</t>
        </is>
      </c>
      <c r="B333" s="8" t="inlineStr">
        <is>
          <t>EDM-T3010</t>
        </is>
      </c>
      <c r="C333" s="8" t="inlineStr">
        <is>
          <t>FS</t>
        </is>
      </c>
      <c r="D333" s="8" t="n">
        <v>0</v>
      </c>
    </row>
    <row r="334">
      <c r="A334" s="8" t="inlineStr">
        <is>
          <t>EDM-T2010</t>
        </is>
      </c>
      <c r="B334" s="8" t="inlineStr">
        <is>
          <t>EDM-T3010</t>
        </is>
      </c>
      <c r="C334" s="8" t="inlineStr">
        <is>
          <t>FS</t>
        </is>
      </c>
      <c r="D334" s="8" t="n">
        <v>0</v>
      </c>
    </row>
    <row r="335">
      <c r="A335" s="8" t="inlineStr">
        <is>
          <t>EDM-T2020</t>
        </is>
      </c>
      <c r="B335" s="8" t="inlineStr">
        <is>
          <t>EDM-T3010</t>
        </is>
      </c>
      <c r="C335" s="8" t="inlineStr">
        <is>
          <t>FS</t>
        </is>
      </c>
      <c r="D335" s="8" t="n">
        <v>0</v>
      </c>
    </row>
    <row r="336">
      <c r="A336" s="8" t="inlineStr">
        <is>
          <t>EDM-E1140</t>
        </is>
      </c>
      <c r="B336" s="8" t="inlineStr">
        <is>
          <t>EDM-T3010</t>
        </is>
      </c>
      <c r="C336" s="8" t="inlineStr">
        <is>
          <t>FS</t>
        </is>
      </c>
      <c r="D336" s="8" t="n">
        <v>0</v>
      </c>
    </row>
    <row r="337">
      <c r="A337" s="8" t="inlineStr">
        <is>
          <t>EDM-T3010</t>
        </is>
      </c>
      <c r="B337" s="8" t="inlineStr">
        <is>
          <t>EDM-T3100</t>
        </is>
      </c>
      <c r="C337" s="8" t="inlineStr">
        <is>
          <t>FS</t>
        </is>
      </c>
      <c r="D337" s="8" t="n">
        <v>0</v>
      </c>
    </row>
    <row r="338">
      <c r="A338" s="8" t="inlineStr">
        <is>
          <t>PRJ-A1060</t>
        </is>
      </c>
      <c r="B338" s="8" t="inlineStr">
        <is>
          <t>NQS-E1010</t>
        </is>
      </c>
      <c r="C338" s="8" t="inlineStr">
        <is>
          <t>FS</t>
        </is>
      </c>
      <c r="D338" s="8" t="n">
        <v>0</v>
      </c>
    </row>
    <row r="339">
      <c r="A339" s="8" t="inlineStr">
        <is>
          <t>PRJ-M1150</t>
        </is>
      </c>
      <c r="B339" s="8" t="inlineStr">
        <is>
          <t>NQS-E1010</t>
        </is>
      </c>
      <c r="C339" s="8" t="inlineStr">
        <is>
          <t>FS</t>
        </is>
      </c>
      <c r="D339" s="8" t="n">
        <v>142</v>
      </c>
    </row>
    <row r="340">
      <c r="A340" s="8" t="inlineStr">
        <is>
          <t>NQS-E1010</t>
        </is>
      </c>
      <c r="B340" s="8" t="inlineStr">
        <is>
          <t>NQS-E1020</t>
        </is>
      </c>
      <c r="C340" s="8" t="inlineStr">
        <is>
          <t>FS</t>
        </is>
      </c>
      <c r="D340" s="8" t="n">
        <v>0</v>
      </c>
    </row>
    <row r="341">
      <c r="A341" s="8" t="inlineStr">
        <is>
          <t>NQS-E1010</t>
        </is>
      </c>
      <c r="B341" s="8" t="inlineStr">
        <is>
          <t>NQS-E1030</t>
        </is>
      </c>
      <c r="C341" s="8" t="inlineStr">
        <is>
          <t>FS</t>
        </is>
      </c>
      <c r="D341" s="8" t="n">
        <v>0</v>
      </c>
    </row>
    <row r="342">
      <c r="A342" s="8" t="inlineStr">
        <is>
          <t>NQS-E1030</t>
        </is>
      </c>
      <c r="B342" s="8" t="inlineStr">
        <is>
          <t>NQS-E1040</t>
        </is>
      </c>
      <c r="C342" s="8" t="inlineStr">
        <is>
          <t>FS</t>
        </is>
      </c>
      <c r="D342" s="8" t="n">
        <v>0</v>
      </c>
    </row>
    <row r="343">
      <c r="A343" s="8" t="inlineStr">
        <is>
          <t>NQS-E1030</t>
        </is>
      </c>
      <c r="B343" s="8" t="inlineStr">
        <is>
          <t>NQS-E1050</t>
        </is>
      </c>
      <c r="C343" s="8" t="inlineStr">
        <is>
          <t>FS</t>
        </is>
      </c>
      <c r="D343" s="8" t="n">
        <v>0</v>
      </c>
    </row>
    <row r="344">
      <c r="A344" s="8" t="inlineStr">
        <is>
          <t>NQS-E1050</t>
        </is>
      </c>
      <c r="B344" s="8" t="inlineStr">
        <is>
          <t>NQS-E1060</t>
        </is>
      </c>
      <c r="C344" s="8" t="inlineStr">
        <is>
          <t>FS</t>
        </is>
      </c>
      <c r="D344" s="8" t="n">
        <v>0</v>
      </c>
    </row>
    <row r="345">
      <c r="A345" s="8" t="inlineStr">
        <is>
          <t>NQS-E1050</t>
        </is>
      </c>
      <c r="B345" s="8" t="inlineStr">
        <is>
          <t>NQS-E1070</t>
        </is>
      </c>
      <c r="C345" s="8" t="inlineStr">
        <is>
          <t>FS</t>
        </is>
      </c>
      <c r="D345" s="8" t="n">
        <v>0</v>
      </c>
    </row>
    <row r="346">
      <c r="A346" s="8" t="inlineStr">
        <is>
          <t>NQS-E1070</t>
        </is>
      </c>
      <c r="B346" s="8" t="inlineStr">
        <is>
          <t>NQS-E1080</t>
        </is>
      </c>
      <c r="C346" s="8" t="inlineStr">
        <is>
          <t>FS</t>
        </is>
      </c>
      <c r="D346" s="8" t="n">
        <v>0</v>
      </c>
    </row>
    <row r="347">
      <c r="A347" s="8" t="inlineStr">
        <is>
          <t>NQS-E1070</t>
        </is>
      </c>
      <c r="B347" s="8" t="inlineStr">
        <is>
          <t>NQS-E1090</t>
        </is>
      </c>
      <c r="C347" s="8" t="inlineStr">
        <is>
          <t>FS</t>
        </is>
      </c>
      <c r="D347" s="8" t="n">
        <v>0</v>
      </c>
    </row>
    <row r="348">
      <c r="A348" s="8" t="inlineStr">
        <is>
          <t>NQS-E1090</t>
        </is>
      </c>
      <c r="B348" s="8" t="inlineStr">
        <is>
          <t>NQS-E1100</t>
        </is>
      </c>
      <c r="C348" s="8" t="inlineStr">
        <is>
          <t>FS</t>
        </is>
      </c>
      <c r="D348" s="8" t="n">
        <v>0</v>
      </c>
    </row>
    <row r="349">
      <c r="A349" s="8" t="inlineStr">
        <is>
          <t>NQS-E1050</t>
        </is>
      </c>
      <c r="B349" s="8" t="inlineStr">
        <is>
          <t>NQS-E1110</t>
        </is>
      </c>
      <c r="C349" s="8" t="inlineStr">
        <is>
          <t>FS</t>
        </is>
      </c>
      <c r="D349" s="8" t="n">
        <v>9</v>
      </c>
    </row>
    <row r="350">
      <c r="A350" s="8" t="inlineStr">
        <is>
          <t>NQS-E1090</t>
        </is>
      </c>
      <c r="B350" s="8" t="inlineStr">
        <is>
          <t>NQS-E1110</t>
        </is>
      </c>
      <c r="C350" s="8" t="inlineStr">
        <is>
          <t>FF</t>
        </is>
      </c>
      <c r="D350" s="8" t="n">
        <v>0</v>
      </c>
    </row>
    <row r="351">
      <c r="A351" s="8" t="inlineStr">
        <is>
          <t>NQS-E1110</t>
        </is>
      </c>
      <c r="B351" s="8" t="inlineStr">
        <is>
          <t>NQS-E1120</t>
        </is>
      </c>
      <c r="C351" s="8" t="inlineStr">
        <is>
          <t>FS</t>
        </is>
      </c>
      <c r="D351" s="8" t="n">
        <v>0</v>
      </c>
    </row>
    <row r="352">
      <c r="A352" s="8" t="inlineStr">
        <is>
          <t>NQS-E1090</t>
        </is>
      </c>
      <c r="B352" s="8" t="inlineStr">
        <is>
          <t>NQS-E1200</t>
        </is>
      </c>
      <c r="C352" s="8" t="inlineStr">
        <is>
          <t>FS</t>
        </is>
      </c>
      <c r="D352" s="8" t="n">
        <v>0</v>
      </c>
    </row>
    <row r="353">
      <c r="A353" s="8" t="inlineStr">
        <is>
          <t>NQS-E1110</t>
        </is>
      </c>
      <c r="B353" s="8" t="inlineStr">
        <is>
          <t>NQS-E1200</t>
        </is>
      </c>
      <c r="C353" s="8" t="inlineStr">
        <is>
          <t>FS</t>
        </is>
      </c>
      <c r="D353" s="8" t="n">
        <v>0</v>
      </c>
    </row>
    <row r="354">
      <c r="A354" s="8" t="inlineStr">
        <is>
          <t>NQS-E1020</t>
        </is>
      </c>
      <c r="B354" s="8" t="inlineStr">
        <is>
          <t>NQS-E1210</t>
        </is>
      </c>
      <c r="C354" s="8" t="inlineStr">
        <is>
          <t>FS</t>
        </is>
      </c>
      <c r="D354" s="8" t="n">
        <v>0</v>
      </c>
    </row>
    <row r="355">
      <c r="A355" s="8" t="inlineStr">
        <is>
          <t>NQS-E1040</t>
        </is>
      </c>
      <c r="B355" s="8" t="inlineStr">
        <is>
          <t>NQS-E1210</t>
        </is>
      </c>
      <c r="C355" s="8" t="inlineStr">
        <is>
          <t>FS</t>
        </is>
      </c>
      <c r="D355" s="8" t="n">
        <v>0</v>
      </c>
    </row>
    <row r="356">
      <c r="A356" s="8" t="inlineStr">
        <is>
          <t>NQS-E1060</t>
        </is>
      </c>
      <c r="B356" s="8" t="inlineStr">
        <is>
          <t>NQS-E1210</t>
        </is>
      </c>
      <c r="C356" s="8" t="inlineStr">
        <is>
          <t>FS</t>
        </is>
      </c>
      <c r="D356" s="8" t="n">
        <v>0</v>
      </c>
    </row>
    <row r="357">
      <c r="A357" s="8" t="inlineStr">
        <is>
          <t>NQS-E1080</t>
        </is>
      </c>
      <c r="B357" s="8" t="inlineStr">
        <is>
          <t>NQS-E1210</t>
        </is>
      </c>
      <c r="C357" s="8" t="inlineStr">
        <is>
          <t>FS</t>
        </is>
      </c>
      <c r="D357" s="8" t="n">
        <v>0</v>
      </c>
    </row>
    <row r="358">
      <c r="A358" s="8" t="inlineStr">
        <is>
          <t>NQS-E1100</t>
        </is>
      </c>
      <c r="B358" s="8" t="inlineStr">
        <is>
          <t>NQS-E1210</t>
        </is>
      </c>
      <c r="C358" s="8" t="inlineStr">
        <is>
          <t>FS</t>
        </is>
      </c>
      <c r="D358" s="8" t="n">
        <v>0</v>
      </c>
    </row>
    <row r="359">
      <c r="A359" s="8" t="inlineStr">
        <is>
          <t>NQS-E1120</t>
        </is>
      </c>
      <c r="B359" s="8" t="inlineStr">
        <is>
          <t>NQS-E1210</t>
        </is>
      </c>
      <c r="C359" s="8" t="inlineStr">
        <is>
          <t>FS</t>
        </is>
      </c>
      <c r="D359" s="8" t="n">
        <v>0</v>
      </c>
    </row>
    <row r="360">
      <c r="A360" s="8" t="inlineStr">
        <is>
          <t>NQS-E1200</t>
        </is>
      </c>
      <c r="B360" s="8" t="inlineStr">
        <is>
          <t>NQS-E1210</t>
        </is>
      </c>
      <c r="C360" s="8" t="inlineStr">
        <is>
          <t>FS</t>
        </is>
      </c>
      <c r="D360" s="8" t="n">
        <v>0</v>
      </c>
    </row>
    <row r="361">
      <c r="A361" s="8" t="inlineStr">
        <is>
          <t>NQS-E1210</t>
        </is>
      </c>
      <c r="B361" s="8" t="inlineStr">
        <is>
          <t>NQS-P1010</t>
        </is>
      </c>
      <c r="C361" s="8" t="inlineStr">
        <is>
          <t>FS</t>
        </is>
      </c>
      <c r="D361" s="8" t="n">
        <v>0</v>
      </c>
    </row>
    <row r="362">
      <c r="A362" s="8" t="inlineStr">
        <is>
          <t>NQS-E1210</t>
        </is>
      </c>
      <c r="B362" s="8" t="inlineStr">
        <is>
          <t>NQS-P1020</t>
        </is>
      </c>
      <c r="C362" s="8" t="inlineStr">
        <is>
          <t>FS</t>
        </is>
      </c>
      <c r="D362" s="8" t="n">
        <v>0</v>
      </c>
    </row>
    <row r="363">
      <c r="A363" s="8" t="inlineStr">
        <is>
          <t>NQS-E1210</t>
        </is>
      </c>
      <c r="B363" s="8" t="inlineStr">
        <is>
          <t>NQS-P1030</t>
        </is>
      </c>
      <c r="C363" s="8" t="inlineStr">
        <is>
          <t>FS</t>
        </is>
      </c>
      <c r="D363" s="8" t="n">
        <v>0</v>
      </c>
    </row>
    <row r="364">
      <c r="A364" s="8" t="inlineStr">
        <is>
          <t>NQS-E1210</t>
        </is>
      </c>
      <c r="B364" s="8" t="inlineStr">
        <is>
          <t>NQS-P1040</t>
        </is>
      </c>
      <c r="C364" s="8" t="inlineStr">
        <is>
          <t>FS</t>
        </is>
      </c>
      <c r="D364" s="8" t="n">
        <v>0</v>
      </c>
    </row>
    <row r="365">
      <c r="A365" s="8" t="inlineStr">
        <is>
          <t>NQS-P1010</t>
        </is>
      </c>
      <c r="B365" s="8" t="inlineStr">
        <is>
          <t>NQS-P1050</t>
        </is>
      </c>
      <c r="C365" s="8" t="inlineStr">
        <is>
          <t>FS</t>
        </is>
      </c>
      <c r="D365" s="8" t="n">
        <v>0</v>
      </c>
    </row>
    <row r="366">
      <c r="A366" s="8" t="inlineStr">
        <is>
          <t>NQS-P1020</t>
        </is>
      </c>
      <c r="B366" s="8" t="inlineStr">
        <is>
          <t>NQS-P1050</t>
        </is>
      </c>
      <c r="C366" s="8" t="inlineStr">
        <is>
          <t>FS</t>
        </is>
      </c>
      <c r="D366" s="8" t="n">
        <v>0</v>
      </c>
    </row>
    <row r="367">
      <c r="A367" s="8" t="inlineStr">
        <is>
          <t>NQS-P1030</t>
        </is>
      </c>
      <c r="B367" s="8" t="inlineStr">
        <is>
          <t>NQS-P1050</t>
        </is>
      </c>
      <c r="C367" s="8" t="inlineStr">
        <is>
          <t>FS</t>
        </is>
      </c>
      <c r="D367" s="8" t="n">
        <v>0</v>
      </c>
    </row>
    <row r="368">
      <c r="A368" s="8" t="inlineStr">
        <is>
          <t>NQS-P1040</t>
        </is>
      </c>
      <c r="B368" s="8" t="inlineStr">
        <is>
          <t>NQS-P1050</t>
        </is>
      </c>
      <c r="C368" s="8" t="inlineStr">
        <is>
          <t>FS</t>
        </is>
      </c>
      <c r="D368" s="8" t="n">
        <v>0</v>
      </c>
    </row>
    <row r="369">
      <c r="A369" s="8" t="inlineStr">
        <is>
          <t>NQS-P1050</t>
        </is>
      </c>
      <c r="B369" s="8" t="inlineStr">
        <is>
          <t>NQS-P1060</t>
        </is>
      </c>
      <c r="C369" s="8" t="inlineStr">
        <is>
          <t>FS</t>
        </is>
      </c>
      <c r="D369" s="8" t="n">
        <v>0</v>
      </c>
    </row>
    <row r="370">
      <c r="A370" s="8" t="inlineStr">
        <is>
          <t>NQS-P1060</t>
        </is>
      </c>
      <c r="B370" s="8" t="inlineStr">
        <is>
          <t>NQS-P1070</t>
        </is>
      </c>
      <c r="C370" s="8" t="inlineStr">
        <is>
          <t>FS</t>
        </is>
      </c>
      <c r="D370" s="8" t="n">
        <v>0</v>
      </c>
    </row>
    <row r="371">
      <c r="A371" s="8" t="inlineStr">
        <is>
          <t>NQS-P1070</t>
        </is>
      </c>
      <c r="B371" s="8" t="inlineStr">
        <is>
          <t>NQS-P1100</t>
        </is>
      </c>
      <c r="C371" s="8" t="inlineStr">
        <is>
          <t>FS</t>
        </is>
      </c>
      <c r="D371" s="8" t="n">
        <v>0</v>
      </c>
    </row>
    <row r="372">
      <c r="A372" s="8" t="inlineStr">
        <is>
          <t>NQS-P1100</t>
        </is>
      </c>
      <c r="B372" s="8" t="inlineStr">
        <is>
          <t>NQS-C2010</t>
        </is>
      </c>
      <c r="C372" s="8" t="inlineStr">
        <is>
          <t>FS</t>
        </is>
      </c>
      <c r="D372" s="8" t="n">
        <v>0</v>
      </c>
    </row>
    <row r="373">
      <c r="A373" s="8" t="inlineStr">
        <is>
          <t>NQS-E1120</t>
        </is>
      </c>
      <c r="B373" s="8" t="inlineStr">
        <is>
          <t>NQS-X1010</t>
        </is>
      </c>
      <c r="C373" s="8" t="inlineStr">
        <is>
          <t>FS</t>
        </is>
      </c>
      <c r="D373" s="8" t="n">
        <v>0</v>
      </c>
    </row>
    <row r="374">
      <c r="A374" s="8" t="inlineStr">
        <is>
          <t>NQS-X1010</t>
        </is>
      </c>
      <c r="B374" s="8" t="inlineStr">
        <is>
          <t>NQS-X1020</t>
        </is>
      </c>
      <c r="C374" s="8" t="inlineStr">
        <is>
          <t>FS</t>
        </is>
      </c>
      <c r="D374" s="8" t="n">
        <v>0</v>
      </c>
    </row>
    <row r="375">
      <c r="A375" s="8" t="inlineStr">
        <is>
          <t>NQS-X1020</t>
        </is>
      </c>
      <c r="B375" s="8" t="inlineStr">
        <is>
          <t>NQS-C1010</t>
        </is>
      </c>
      <c r="C375" s="8" t="inlineStr">
        <is>
          <t>FS</t>
        </is>
      </c>
      <c r="D375" s="8" t="n">
        <v>0</v>
      </c>
    </row>
    <row r="376">
      <c r="A376" s="8" t="inlineStr">
        <is>
          <t>NQS-C2010</t>
        </is>
      </c>
      <c r="B376" s="8" t="inlineStr">
        <is>
          <t>NQS-C2020</t>
        </is>
      </c>
      <c r="C376" s="8" t="inlineStr">
        <is>
          <t>SS</t>
        </is>
      </c>
      <c r="D376" s="8" t="n">
        <v>4</v>
      </c>
    </row>
    <row r="377">
      <c r="A377" s="8" t="inlineStr">
        <is>
          <t>NQS-C1010</t>
        </is>
      </c>
      <c r="B377" s="8" t="inlineStr">
        <is>
          <t>NQS-C2020</t>
        </is>
      </c>
      <c r="C377" s="8" t="inlineStr">
        <is>
          <t>SS</t>
        </is>
      </c>
      <c r="D377" s="8" t="n">
        <v>41</v>
      </c>
    </row>
    <row r="378">
      <c r="A378" s="8" t="inlineStr">
        <is>
          <t>NQS-C1010</t>
        </is>
      </c>
      <c r="B378" s="8" t="inlineStr">
        <is>
          <t>NQS-C1020</t>
        </is>
      </c>
      <c r="C378" s="8" t="inlineStr">
        <is>
          <t>SS</t>
        </is>
      </c>
      <c r="D378" s="8" t="n">
        <v>37</v>
      </c>
    </row>
    <row r="379">
      <c r="A379" s="8" t="inlineStr">
        <is>
          <t>NQS-C2020</t>
        </is>
      </c>
      <c r="B379" s="8" t="inlineStr">
        <is>
          <t>NQS-C2030</t>
        </is>
      </c>
      <c r="C379" s="8" t="inlineStr">
        <is>
          <t>FS</t>
        </is>
      </c>
      <c r="D379" s="8" t="n">
        <v>0</v>
      </c>
    </row>
    <row r="380">
      <c r="A380" s="8" t="inlineStr">
        <is>
          <t>NQS-C1020</t>
        </is>
      </c>
      <c r="B380" s="8" t="inlineStr">
        <is>
          <t>NQS-C2030</t>
        </is>
      </c>
      <c r="C380" s="8" t="inlineStr">
        <is>
          <t>FS</t>
        </is>
      </c>
      <c r="D380" s="8" t="n">
        <v>0</v>
      </c>
    </row>
    <row r="381">
      <c r="A381" s="8" t="inlineStr">
        <is>
          <t>NQS-C2010</t>
        </is>
      </c>
      <c r="B381" s="8" t="inlineStr">
        <is>
          <t>NQS-C2040</t>
        </is>
      </c>
      <c r="C381" s="8" t="inlineStr">
        <is>
          <t>FS</t>
        </is>
      </c>
      <c r="D381" s="8" t="n">
        <v>0</v>
      </c>
    </row>
    <row r="382">
      <c r="A382" s="8" t="inlineStr">
        <is>
          <t>NQS-C2010</t>
        </is>
      </c>
      <c r="B382" s="8" t="inlineStr">
        <is>
          <t>NQS-C2050</t>
        </is>
      </c>
      <c r="C382" s="8" t="inlineStr">
        <is>
          <t>FS</t>
        </is>
      </c>
      <c r="D382" s="8" t="n">
        <v>4</v>
      </c>
    </row>
    <row r="383">
      <c r="A383" s="8" t="inlineStr">
        <is>
          <t>NQS-C2020</t>
        </is>
      </c>
      <c r="B383" s="8" t="inlineStr">
        <is>
          <t>NQS-C2100</t>
        </is>
      </c>
      <c r="C383" s="8" t="inlineStr">
        <is>
          <t>FS</t>
        </is>
      </c>
      <c r="D383" s="8" t="n">
        <v>0</v>
      </c>
    </row>
    <row r="384">
      <c r="A384" s="8" t="inlineStr">
        <is>
          <t>NQS-C2030</t>
        </is>
      </c>
      <c r="B384" s="8" t="inlineStr">
        <is>
          <t>NQS-C2100</t>
        </is>
      </c>
      <c r="C384" s="8" t="inlineStr">
        <is>
          <t>FS</t>
        </is>
      </c>
      <c r="D384" s="8" t="n">
        <v>0</v>
      </c>
    </row>
    <row r="385">
      <c r="A385" s="8" t="inlineStr">
        <is>
          <t>NQS-C2040</t>
        </is>
      </c>
      <c r="B385" s="8" t="inlineStr">
        <is>
          <t>NQS-C2100</t>
        </is>
      </c>
      <c r="C385" s="8" t="inlineStr">
        <is>
          <t>FS</t>
        </is>
      </c>
      <c r="D385" s="8" t="n">
        <v>0</v>
      </c>
    </row>
    <row r="386">
      <c r="A386" s="8" t="inlineStr">
        <is>
          <t>NQS-C2050</t>
        </is>
      </c>
      <c r="B386" s="8" t="inlineStr">
        <is>
          <t>NQS-C2100</t>
        </is>
      </c>
      <c r="C386" s="8" t="inlineStr">
        <is>
          <t>FS</t>
        </is>
      </c>
      <c r="D386" s="8" t="n">
        <v>0</v>
      </c>
    </row>
    <row r="387">
      <c r="A387" s="8" t="inlineStr">
        <is>
          <t>NQS-C1020</t>
        </is>
      </c>
      <c r="B387" s="8" t="inlineStr">
        <is>
          <t>NQS-C2100</t>
        </is>
      </c>
      <c r="C387" s="8" t="inlineStr">
        <is>
          <t>FS</t>
        </is>
      </c>
      <c r="D387" s="8" t="n">
        <v>0</v>
      </c>
    </row>
    <row r="388">
      <c r="A388" s="8" t="inlineStr">
        <is>
          <t>NQS-C2100</t>
        </is>
      </c>
      <c r="B388" s="8" t="inlineStr">
        <is>
          <t>NQS-T1010</t>
        </is>
      </c>
      <c r="C388" s="8" t="inlineStr">
        <is>
          <t>FS</t>
        </is>
      </c>
      <c r="D388" s="8" t="n">
        <v>0</v>
      </c>
    </row>
    <row r="389">
      <c r="A389" s="8" t="inlineStr">
        <is>
          <t>NQS-T1010</t>
        </is>
      </c>
      <c r="B389" s="8" t="inlineStr">
        <is>
          <t>NQS-T1020</t>
        </is>
      </c>
      <c r="C389" s="8" t="inlineStr">
        <is>
          <t>FS</t>
        </is>
      </c>
      <c r="D389" s="8" t="n">
        <v>0</v>
      </c>
    </row>
    <row r="390">
      <c r="A390" s="8" t="inlineStr">
        <is>
          <t>NQS-T1020</t>
        </is>
      </c>
      <c r="B390" s="8" t="inlineStr">
        <is>
          <t>NQS-T1100</t>
        </is>
      </c>
      <c r="C390" s="8" t="inlineStr">
        <is>
          <t>FS</t>
        </is>
      </c>
      <c r="D390" s="8" t="n">
        <v>0</v>
      </c>
    </row>
    <row r="391">
      <c r="A391" s="8" t="inlineStr">
        <is>
          <t>NQS-T1020</t>
        </is>
      </c>
      <c r="B391" s="8" t="inlineStr">
        <is>
          <t>NQS-T2010</t>
        </is>
      </c>
      <c r="C391" s="8" t="inlineStr">
        <is>
          <t>FS</t>
        </is>
      </c>
      <c r="D391" s="8" t="n">
        <v>0</v>
      </c>
    </row>
    <row r="392">
      <c r="A392" s="8" t="inlineStr">
        <is>
          <t>NQS-T1020</t>
        </is>
      </c>
      <c r="B392" s="8" t="inlineStr">
        <is>
          <t>NQS-T2020</t>
        </is>
      </c>
      <c r="C392" s="8" t="inlineStr">
        <is>
          <t>FS</t>
        </is>
      </c>
      <c r="D392" s="8" t="n">
        <v>0</v>
      </c>
    </row>
    <row r="393">
      <c r="A393" s="8" t="inlineStr">
        <is>
          <t>NQS-C2100</t>
        </is>
      </c>
      <c r="B393" s="8" t="inlineStr">
        <is>
          <t>NQS-E1130</t>
        </is>
      </c>
      <c r="C393" s="8" t="inlineStr">
        <is>
          <t>FS</t>
        </is>
      </c>
      <c r="D393" s="8" t="n">
        <v>0</v>
      </c>
    </row>
    <row r="394">
      <c r="A394" s="8" t="inlineStr">
        <is>
          <t>NQS-E1130</t>
        </is>
      </c>
      <c r="B394" s="8" t="inlineStr">
        <is>
          <t>NQS-E1140</t>
        </is>
      </c>
      <c r="C394" s="8" t="inlineStr">
        <is>
          <t>FS</t>
        </is>
      </c>
      <c r="D394" s="8" t="n">
        <v>0</v>
      </c>
    </row>
    <row r="395">
      <c r="A395" s="8" t="inlineStr">
        <is>
          <t>NQS-T1100</t>
        </is>
      </c>
      <c r="B395" s="8" t="inlineStr">
        <is>
          <t>NQS-T3010</t>
        </is>
      </c>
      <c r="C395" s="8" t="inlineStr">
        <is>
          <t>FS</t>
        </is>
      </c>
      <c r="D395" s="8" t="n">
        <v>0</v>
      </c>
    </row>
    <row r="396">
      <c r="A396" s="8" t="inlineStr">
        <is>
          <t>NQS-T2010</t>
        </is>
      </c>
      <c r="B396" s="8" t="inlineStr">
        <is>
          <t>NQS-T3010</t>
        </is>
      </c>
      <c r="C396" s="8" t="inlineStr">
        <is>
          <t>FS</t>
        </is>
      </c>
      <c r="D396" s="8" t="n">
        <v>0</v>
      </c>
    </row>
    <row r="397">
      <c r="A397" s="8" t="inlineStr">
        <is>
          <t>NQS-T2020</t>
        </is>
      </c>
      <c r="B397" s="8" t="inlineStr">
        <is>
          <t>NQS-T3010</t>
        </is>
      </c>
      <c r="C397" s="8" t="inlineStr">
        <is>
          <t>FS</t>
        </is>
      </c>
      <c r="D397" s="8" t="n">
        <v>0</v>
      </c>
    </row>
    <row r="398">
      <c r="A398" s="8" t="inlineStr">
        <is>
          <t>NQS-E1140</t>
        </is>
      </c>
      <c r="B398" s="8" t="inlineStr">
        <is>
          <t>NQS-T3010</t>
        </is>
      </c>
      <c r="C398" s="8" t="inlineStr">
        <is>
          <t>FS</t>
        </is>
      </c>
      <c r="D398" s="8" t="n">
        <v>0</v>
      </c>
    </row>
    <row r="399">
      <c r="A399" s="8" t="inlineStr">
        <is>
          <t>NQS-T3010</t>
        </is>
      </c>
      <c r="B399" s="8" t="inlineStr">
        <is>
          <t>NQS-T3100</t>
        </is>
      </c>
      <c r="C399" s="8" t="inlineStr">
        <is>
          <t>FS</t>
        </is>
      </c>
      <c r="D399" s="8" t="n">
        <v>0</v>
      </c>
    </row>
    <row r="400">
      <c r="A400" s="8" t="inlineStr">
        <is>
          <t>PRJ-A1060</t>
        </is>
      </c>
      <c r="B400" s="8" t="inlineStr">
        <is>
          <t>EHF-E1010</t>
        </is>
      </c>
      <c r="C400" s="8" t="inlineStr">
        <is>
          <t>FS</t>
        </is>
      </c>
      <c r="D400" s="8" t="n">
        <v>0</v>
      </c>
    </row>
    <row r="401">
      <c r="A401" s="8" t="inlineStr">
        <is>
          <t>PRJ-M1150</t>
        </is>
      </c>
      <c r="B401" s="8" t="inlineStr">
        <is>
          <t>EHF-E1010</t>
        </is>
      </c>
      <c r="C401" s="8" t="inlineStr">
        <is>
          <t>FS</t>
        </is>
      </c>
      <c r="D401" s="8" t="n">
        <v>142</v>
      </c>
    </row>
    <row r="402">
      <c r="A402" s="8" t="inlineStr">
        <is>
          <t>EHF-E1010</t>
        </is>
      </c>
      <c r="B402" s="8" t="inlineStr">
        <is>
          <t>EHF-E1020</t>
        </is>
      </c>
      <c r="C402" s="8" t="inlineStr">
        <is>
          <t>FS</t>
        </is>
      </c>
      <c r="D402" s="8" t="n">
        <v>0</v>
      </c>
    </row>
    <row r="403">
      <c r="A403" s="8" t="inlineStr">
        <is>
          <t>EHF-E1010</t>
        </is>
      </c>
      <c r="B403" s="8" t="inlineStr">
        <is>
          <t>EHF-E1030</t>
        </is>
      </c>
      <c r="C403" s="8" t="inlineStr">
        <is>
          <t>FS</t>
        </is>
      </c>
      <c r="D403" s="8" t="n">
        <v>0</v>
      </c>
    </row>
    <row r="404">
      <c r="A404" s="8" t="inlineStr">
        <is>
          <t>EHF-E1030</t>
        </is>
      </c>
      <c r="B404" s="8" t="inlineStr">
        <is>
          <t>EHF-E1040</t>
        </is>
      </c>
      <c r="C404" s="8" t="inlineStr">
        <is>
          <t>FS</t>
        </is>
      </c>
      <c r="D404" s="8" t="n">
        <v>0</v>
      </c>
    </row>
    <row r="405">
      <c r="A405" s="8" t="inlineStr">
        <is>
          <t>EHF-E1030</t>
        </is>
      </c>
      <c r="B405" s="8" t="inlineStr">
        <is>
          <t>EHF-E1050</t>
        </is>
      </c>
      <c r="C405" s="8" t="inlineStr">
        <is>
          <t>FS</t>
        </is>
      </c>
      <c r="D405" s="8" t="n">
        <v>0</v>
      </c>
    </row>
    <row r="406">
      <c r="A406" s="8" t="inlineStr">
        <is>
          <t>EHF-E1050</t>
        </is>
      </c>
      <c r="B406" s="8" t="inlineStr">
        <is>
          <t>EHF-E1060</t>
        </is>
      </c>
      <c r="C406" s="8" t="inlineStr">
        <is>
          <t>FS</t>
        </is>
      </c>
      <c r="D406" s="8" t="n">
        <v>0</v>
      </c>
    </row>
    <row r="407">
      <c r="A407" s="8" t="inlineStr">
        <is>
          <t>EHF-E1050</t>
        </is>
      </c>
      <c r="B407" s="8" t="inlineStr">
        <is>
          <t>EHF-E1070</t>
        </is>
      </c>
      <c r="C407" s="8" t="inlineStr">
        <is>
          <t>FS</t>
        </is>
      </c>
      <c r="D407" s="8" t="n">
        <v>0</v>
      </c>
    </row>
    <row r="408">
      <c r="A408" s="8" t="inlineStr">
        <is>
          <t>EHF-E1070</t>
        </is>
      </c>
      <c r="B408" s="8" t="inlineStr">
        <is>
          <t>EHF-E1080</t>
        </is>
      </c>
      <c r="C408" s="8" t="inlineStr">
        <is>
          <t>FS</t>
        </is>
      </c>
      <c r="D408" s="8" t="n">
        <v>0</v>
      </c>
    </row>
    <row r="409">
      <c r="A409" s="8" t="inlineStr">
        <is>
          <t>EHF-E1070</t>
        </is>
      </c>
      <c r="B409" s="8" t="inlineStr">
        <is>
          <t>EHF-E1090</t>
        </is>
      </c>
      <c r="C409" s="8" t="inlineStr">
        <is>
          <t>FS</t>
        </is>
      </c>
      <c r="D409" s="8" t="n">
        <v>0</v>
      </c>
    </row>
    <row r="410">
      <c r="A410" s="8" t="inlineStr">
        <is>
          <t>EHF-E1090</t>
        </is>
      </c>
      <c r="B410" s="8" t="inlineStr">
        <is>
          <t>EHF-E1100</t>
        </is>
      </c>
      <c r="C410" s="8" t="inlineStr">
        <is>
          <t>FS</t>
        </is>
      </c>
      <c r="D410" s="8" t="n">
        <v>0</v>
      </c>
    </row>
    <row r="411">
      <c r="A411" s="8" t="inlineStr">
        <is>
          <t>EHF-E1050</t>
        </is>
      </c>
      <c r="B411" s="8" t="inlineStr">
        <is>
          <t>EHF-E1110</t>
        </is>
      </c>
      <c r="C411" s="8" t="inlineStr">
        <is>
          <t>FS</t>
        </is>
      </c>
      <c r="D411" s="8" t="n">
        <v>9</v>
      </c>
    </row>
    <row r="412">
      <c r="A412" s="8" t="inlineStr">
        <is>
          <t>EHF-E1090</t>
        </is>
      </c>
      <c r="B412" s="8" t="inlineStr">
        <is>
          <t>EHF-E1110</t>
        </is>
      </c>
      <c r="C412" s="8" t="inlineStr">
        <is>
          <t>FF</t>
        </is>
      </c>
      <c r="D412" s="8" t="n">
        <v>0</v>
      </c>
    </row>
    <row r="413">
      <c r="A413" s="8" t="inlineStr">
        <is>
          <t>EHF-E1110</t>
        </is>
      </c>
      <c r="B413" s="8" t="inlineStr">
        <is>
          <t>EHF-E1120</t>
        </is>
      </c>
      <c r="C413" s="8" t="inlineStr">
        <is>
          <t>FS</t>
        </is>
      </c>
      <c r="D413" s="8" t="n">
        <v>0</v>
      </c>
    </row>
    <row r="414">
      <c r="A414" s="8" t="inlineStr">
        <is>
          <t>EHF-E1090</t>
        </is>
      </c>
      <c r="B414" s="8" t="inlineStr">
        <is>
          <t>EHF-E1200</t>
        </is>
      </c>
      <c r="C414" s="8" t="inlineStr">
        <is>
          <t>FS</t>
        </is>
      </c>
      <c r="D414" s="8" t="n">
        <v>0</v>
      </c>
    </row>
    <row r="415">
      <c r="A415" s="8" t="inlineStr">
        <is>
          <t>EHF-E1110</t>
        </is>
      </c>
      <c r="B415" s="8" t="inlineStr">
        <is>
          <t>EHF-E1200</t>
        </is>
      </c>
      <c r="C415" s="8" t="inlineStr">
        <is>
          <t>FS</t>
        </is>
      </c>
      <c r="D415" s="8" t="n">
        <v>0</v>
      </c>
    </row>
    <row r="416">
      <c r="A416" s="8" t="inlineStr">
        <is>
          <t>EHF-E1020</t>
        </is>
      </c>
      <c r="B416" s="8" t="inlineStr">
        <is>
          <t>EHF-E1210</t>
        </is>
      </c>
      <c r="C416" s="8" t="inlineStr">
        <is>
          <t>FS</t>
        </is>
      </c>
      <c r="D416" s="8" t="n">
        <v>0</v>
      </c>
    </row>
    <row r="417">
      <c r="A417" s="8" t="inlineStr">
        <is>
          <t>EHF-E1040</t>
        </is>
      </c>
      <c r="B417" s="8" t="inlineStr">
        <is>
          <t>EHF-E1210</t>
        </is>
      </c>
      <c r="C417" s="8" t="inlineStr">
        <is>
          <t>FS</t>
        </is>
      </c>
      <c r="D417" s="8" t="n">
        <v>0</v>
      </c>
    </row>
    <row r="418">
      <c r="A418" s="8" t="inlineStr">
        <is>
          <t>EHF-E1060</t>
        </is>
      </c>
      <c r="B418" s="8" t="inlineStr">
        <is>
          <t>EHF-E1210</t>
        </is>
      </c>
      <c r="C418" s="8" t="inlineStr">
        <is>
          <t>FS</t>
        </is>
      </c>
      <c r="D418" s="8" t="n">
        <v>0</v>
      </c>
    </row>
    <row r="419">
      <c r="A419" s="8" t="inlineStr">
        <is>
          <t>EHF-E1080</t>
        </is>
      </c>
      <c r="B419" s="8" t="inlineStr">
        <is>
          <t>EHF-E1210</t>
        </is>
      </c>
      <c r="C419" s="8" t="inlineStr">
        <is>
          <t>FS</t>
        </is>
      </c>
      <c r="D419" s="8" t="n">
        <v>0</v>
      </c>
    </row>
    <row r="420">
      <c r="A420" s="8" t="inlineStr">
        <is>
          <t>EHF-E1100</t>
        </is>
      </c>
      <c r="B420" s="8" t="inlineStr">
        <is>
          <t>EHF-E1210</t>
        </is>
      </c>
      <c r="C420" s="8" t="inlineStr">
        <is>
          <t>FS</t>
        </is>
      </c>
      <c r="D420" s="8" t="n">
        <v>0</v>
      </c>
    </row>
    <row r="421">
      <c r="A421" s="8" t="inlineStr">
        <is>
          <t>EHF-E1120</t>
        </is>
      </c>
      <c r="B421" s="8" t="inlineStr">
        <is>
          <t>EHF-E1210</t>
        </is>
      </c>
      <c r="C421" s="8" t="inlineStr">
        <is>
          <t>FS</t>
        </is>
      </c>
      <c r="D421" s="8" t="n">
        <v>0</v>
      </c>
    </row>
    <row r="422">
      <c r="A422" s="8" t="inlineStr">
        <is>
          <t>EHF-E1200</t>
        </is>
      </c>
      <c r="B422" s="8" t="inlineStr">
        <is>
          <t>EHF-E1210</t>
        </is>
      </c>
      <c r="C422" s="8" t="inlineStr">
        <is>
          <t>FS</t>
        </is>
      </c>
      <c r="D422" s="8" t="n">
        <v>0</v>
      </c>
    </row>
    <row r="423">
      <c r="A423" s="8" t="inlineStr">
        <is>
          <t>EHF-E1210</t>
        </is>
      </c>
      <c r="B423" s="8" t="inlineStr">
        <is>
          <t>EHF-P1010</t>
        </is>
      </c>
      <c r="C423" s="8" t="inlineStr">
        <is>
          <t>FS</t>
        </is>
      </c>
      <c r="D423" s="8" t="n">
        <v>0</v>
      </c>
    </row>
    <row r="424">
      <c r="A424" s="8" t="inlineStr">
        <is>
          <t>EHF-E1210</t>
        </is>
      </c>
      <c r="B424" s="8" t="inlineStr">
        <is>
          <t>EHF-P1020</t>
        </is>
      </c>
      <c r="C424" s="8" t="inlineStr">
        <is>
          <t>FS</t>
        </is>
      </c>
      <c r="D424" s="8" t="n">
        <v>0</v>
      </c>
    </row>
    <row r="425">
      <c r="A425" s="8" t="inlineStr">
        <is>
          <t>EHF-E1210</t>
        </is>
      </c>
      <c r="B425" s="8" t="inlineStr">
        <is>
          <t>EHF-P1030</t>
        </is>
      </c>
      <c r="C425" s="8" t="inlineStr">
        <is>
          <t>FS</t>
        </is>
      </c>
      <c r="D425" s="8" t="n">
        <v>0</v>
      </c>
    </row>
    <row r="426">
      <c r="A426" s="8" t="inlineStr">
        <is>
          <t>EHF-E1210</t>
        </is>
      </c>
      <c r="B426" s="8" t="inlineStr">
        <is>
          <t>EHF-P1040</t>
        </is>
      </c>
      <c r="C426" s="8" t="inlineStr">
        <is>
          <t>FS</t>
        </is>
      </c>
      <c r="D426" s="8" t="n">
        <v>0</v>
      </c>
    </row>
    <row r="427">
      <c r="A427" s="8" t="inlineStr">
        <is>
          <t>EHF-P1010</t>
        </is>
      </c>
      <c r="B427" s="8" t="inlineStr">
        <is>
          <t>EHF-P1050</t>
        </is>
      </c>
      <c r="C427" s="8" t="inlineStr">
        <is>
          <t>FS</t>
        </is>
      </c>
      <c r="D427" s="8" t="n">
        <v>0</v>
      </c>
    </row>
    <row r="428">
      <c r="A428" s="8" t="inlineStr">
        <is>
          <t>EHF-P1020</t>
        </is>
      </c>
      <c r="B428" s="8" t="inlineStr">
        <is>
          <t>EHF-P1050</t>
        </is>
      </c>
      <c r="C428" s="8" t="inlineStr">
        <is>
          <t>FS</t>
        </is>
      </c>
      <c r="D428" s="8" t="n">
        <v>0</v>
      </c>
    </row>
    <row r="429">
      <c r="A429" s="8" t="inlineStr">
        <is>
          <t>EHF-P1030</t>
        </is>
      </c>
      <c r="B429" s="8" t="inlineStr">
        <is>
          <t>EHF-P1050</t>
        </is>
      </c>
      <c r="C429" s="8" t="inlineStr">
        <is>
          <t>FS</t>
        </is>
      </c>
      <c r="D429" s="8" t="n">
        <v>0</v>
      </c>
    </row>
    <row r="430">
      <c r="A430" s="8" t="inlineStr">
        <is>
          <t>EHF-P1040</t>
        </is>
      </c>
      <c r="B430" s="8" t="inlineStr">
        <is>
          <t>EHF-P1050</t>
        </is>
      </c>
      <c r="C430" s="8" t="inlineStr">
        <is>
          <t>FS</t>
        </is>
      </c>
      <c r="D430" s="8" t="n">
        <v>0</v>
      </c>
    </row>
    <row r="431">
      <c r="A431" s="8" t="inlineStr">
        <is>
          <t>EHF-P1050</t>
        </is>
      </c>
      <c r="B431" s="8" t="inlineStr">
        <is>
          <t>EHF-P1060</t>
        </is>
      </c>
      <c r="C431" s="8" t="inlineStr">
        <is>
          <t>FS</t>
        </is>
      </c>
      <c r="D431" s="8" t="n">
        <v>0</v>
      </c>
    </row>
    <row r="432">
      <c r="A432" s="8" t="inlineStr">
        <is>
          <t>EHF-P1060</t>
        </is>
      </c>
      <c r="B432" s="8" t="inlineStr">
        <is>
          <t>EHF-P1070</t>
        </is>
      </c>
      <c r="C432" s="8" t="inlineStr">
        <is>
          <t>FS</t>
        </is>
      </c>
      <c r="D432" s="8" t="n">
        <v>0</v>
      </c>
    </row>
    <row r="433">
      <c r="A433" s="8" t="inlineStr">
        <is>
          <t>EHF-P1070</t>
        </is>
      </c>
      <c r="B433" s="8" t="inlineStr">
        <is>
          <t>EHF-P1100</t>
        </is>
      </c>
      <c r="C433" s="8" t="inlineStr">
        <is>
          <t>FS</t>
        </is>
      </c>
      <c r="D433" s="8" t="n">
        <v>0</v>
      </c>
    </row>
    <row r="434">
      <c r="A434" s="8" t="inlineStr">
        <is>
          <t>EHF-P1100</t>
        </is>
      </c>
      <c r="B434" s="8" t="inlineStr">
        <is>
          <t>EHF-C2010</t>
        </is>
      </c>
      <c r="C434" s="8" t="inlineStr">
        <is>
          <t>FS</t>
        </is>
      </c>
      <c r="D434" s="8" t="n">
        <v>0</v>
      </c>
    </row>
    <row r="435">
      <c r="A435" s="8" t="inlineStr">
        <is>
          <t>EHF-E1120</t>
        </is>
      </c>
      <c r="B435" s="8" t="inlineStr">
        <is>
          <t>EHF-X1010</t>
        </is>
      </c>
      <c r="C435" s="8" t="inlineStr">
        <is>
          <t>FS</t>
        </is>
      </c>
      <c r="D435" s="8" t="n">
        <v>0</v>
      </c>
    </row>
    <row r="436">
      <c r="A436" s="8" t="inlineStr">
        <is>
          <t>EHF-X1010</t>
        </is>
      </c>
      <c r="B436" s="8" t="inlineStr">
        <is>
          <t>EHF-X1020</t>
        </is>
      </c>
      <c r="C436" s="8" t="inlineStr">
        <is>
          <t>FS</t>
        </is>
      </c>
      <c r="D436" s="8" t="n">
        <v>0</v>
      </c>
    </row>
    <row r="437">
      <c r="A437" s="8" t="inlineStr">
        <is>
          <t>EHF-X1020</t>
        </is>
      </c>
      <c r="B437" s="8" t="inlineStr">
        <is>
          <t>EHF-C1010</t>
        </is>
      </c>
      <c r="C437" s="8" t="inlineStr">
        <is>
          <t>FS</t>
        </is>
      </c>
      <c r="D437" s="8" t="n">
        <v>0</v>
      </c>
    </row>
    <row r="438">
      <c r="A438" s="8" t="inlineStr">
        <is>
          <t>EHF-C2010</t>
        </is>
      </c>
      <c r="B438" s="8" t="inlineStr">
        <is>
          <t>EHF-C2020</t>
        </is>
      </c>
      <c r="C438" s="8" t="inlineStr">
        <is>
          <t>SS</t>
        </is>
      </c>
      <c r="D438" s="8" t="n">
        <v>4</v>
      </c>
    </row>
    <row r="439">
      <c r="A439" s="8" t="inlineStr">
        <is>
          <t>EHF-C1010</t>
        </is>
      </c>
      <c r="B439" s="8" t="inlineStr">
        <is>
          <t>EHF-C2020</t>
        </is>
      </c>
      <c r="C439" s="8" t="inlineStr">
        <is>
          <t>SS</t>
        </is>
      </c>
      <c r="D439" s="8" t="n">
        <v>38</v>
      </c>
    </row>
    <row r="440">
      <c r="A440" s="8" t="inlineStr">
        <is>
          <t>EHF-C1010</t>
        </is>
      </c>
      <c r="B440" s="8" t="inlineStr">
        <is>
          <t>EHF-C1020</t>
        </is>
      </c>
      <c r="C440" s="8" t="inlineStr">
        <is>
          <t>SS</t>
        </is>
      </c>
      <c r="D440" s="8" t="n">
        <v>34</v>
      </c>
    </row>
    <row r="441">
      <c r="A441" s="8" t="inlineStr">
        <is>
          <t>EHF-C2020</t>
        </is>
      </c>
      <c r="B441" s="8" t="inlineStr">
        <is>
          <t>EHF-C2030</t>
        </is>
      </c>
      <c r="C441" s="8" t="inlineStr">
        <is>
          <t>FS</t>
        </is>
      </c>
      <c r="D441" s="8" t="n">
        <v>0</v>
      </c>
    </row>
    <row r="442">
      <c r="A442" s="8" t="inlineStr">
        <is>
          <t>EHF-C1020</t>
        </is>
      </c>
      <c r="B442" s="8" t="inlineStr">
        <is>
          <t>EHF-C2030</t>
        </is>
      </c>
      <c r="C442" s="8" t="inlineStr">
        <is>
          <t>FS</t>
        </is>
      </c>
      <c r="D442" s="8" t="n">
        <v>0</v>
      </c>
    </row>
    <row r="443">
      <c r="A443" s="8" t="inlineStr">
        <is>
          <t>EHF-C2010</t>
        </is>
      </c>
      <c r="B443" s="8" t="inlineStr">
        <is>
          <t>EHF-C2040</t>
        </is>
      </c>
      <c r="C443" s="8" t="inlineStr">
        <is>
          <t>FS</t>
        </is>
      </c>
      <c r="D443" s="8" t="n">
        <v>0</v>
      </c>
    </row>
    <row r="444">
      <c r="A444" s="8" t="inlineStr">
        <is>
          <t>EHF-C2010</t>
        </is>
      </c>
      <c r="B444" s="8" t="inlineStr">
        <is>
          <t>EHF-C2050</t>
        </is>
      </c>
      <c r="C444" s="8" t="inlineStr">
        <is>
          <t>FS</t>
        </is>
      </c>
      <c r="D444" s="8" t="n">
        <v>4</v>
      </c>
    </row>
    <row r="445">
      <c r="A445" s="8" t="inlineStr">
        <is>
          <t>EHF-C2020</t>
        </is>
      </c>
      <c r="B445" s="8" t="inlineStr">
        <is>
          <t>EHF-C2100</t>
        </is>
      </c>
      <c r="C445" s="8" t="inlineStr">
        <is>
          <t>FS</t>
        </is>
      </c>
      <c r="D445" s="8" t="n">
        <v>0</v>
      </c>
    </row>
    <row r="446">
      <c r="A446" s="8" t="inlineStr">
        <is>
          <t>EHF-C2030</t>
        </is>
      </c>
      <c r="B446" s="8" t="inlineStr">
        <is>
          <t>EHF-C2100</t>
        </is>
      </c>
      <c r="C446" s="8" t="inlineStr">
        <is>
          <t>FS</t>
        </is>
      </c>
      <c r="D446" s="8" t="n">
        <v>0</v>
      </c>
    </row>
    <row r="447">
      <c r="A447" s="8" t="inlineStr">
        <is>
          <t>EHF-C2040</t>
        </is>
      </c>
      <c r="B447" s="8" t="inlineStr">
        <is>
          <t>EHF-C2100</t>
        </is>
      </c>
      <c r="C447" s="8" t="inlineStr">
        <is>
          <t>FS</t>
        </is>
      </c>
      <c r="D447" s="8" t="n">
        <v>0</v>
      </c>
    </row>
    <row r="448">
      <c r="A448" s="8" t="inlineStr">
        <is>
          <t>EHF-C2050</t>
        </is>
      </c>
      <c r="B448" s="8" t="inlineStr">
        <is>
          <t>EHF-C2100</t>
        </is>
      </c>
      <c r="C448" s="8" t="inlineStr">
        <is>
          <t>FS</t>
        </is>
      </c>
      <c r="D448" s="8" t="n">
        <v>0</v>
      </c>
    </row>
    <row r="449">
      <c r="A449" s="8" t="inlineStr">
        <is>
          <t>EHF-C1020</t>
        </is>
      </c>
      <c r="B449" s="8" t="inlineStr">
        <is>
          <t>EHF-C2100</t>
        </is>
      </c>
      <c r="C449" s="8" t="inlineStr">
        <is>
          <t>FS</t>
        </is>
      </c>
      <c r="D449" s="8" t="n">
        <v>0</v>
      </c>
    </row>
    <row r="450">
      <c r="A450" s="8" t="inlineStr">
        <is>
          <t>EHF-C2100</t>
        </is>
      </c>
      <c r="B450" s="8" t="inlineStr">
        <is>
          <t>EHF-T1010</t>
        </is>
      </c>
      <c r="C450" s="8" t="inlineStr">
        <is>
          <t>FS</t>
        </is>
      </c>
      <c r="D450" s="8" t="n">
        <v>0</v>
      </c>
    </row>
    <row r="451">
      <c r="A451" s="8" t="inlineStr">
        <is>
          <t>EHF-T1010</t>
        </is>
      </c>
      <c r="B451" s="8" t="inlineStr">
        <is>
          <t>EHF-T1020</t>
        </is>
      </c>
      <c r="C451" s="8" t="inlineStr">
        <is>
          <t>FS</t>
        </is>
      </c>
      <c r="D451" s="8" t="n">
        <v>0</v>
      </c>
    </row>
    <row r="452">
      <c r="A452" s="8" t="inlineStr">
        <is>
          <t>EHF-T1020</t>
        </is>
      </c>
      <c r="B452" s="8" t="inlineStr">
        <is>
          <t>EHF-T1100</t>
        </is>
      </c>
      <c r="C452" s="8" t="inlineStr">
        <is>
          <t>FS</t>
        </is>
      </c>
      <c r="D452" s="8" t="n">
        <v>0</v>
      </c>
    </row>
    <row r="453">
      <c r="A453" s="8" t="inlineStr">
        <is>
          <t>EHF-T1020</t>
        </is>
      </c>
      <c r="B453" s="8" t="inlineStr">
        <is>
          <t>EHF-T2010</t>
        </is>
      </c>
      <c r="C453" s="8" t="inlineStr">
        <is>
          <t>FS</t>
        </is>
      </c>
      <c r="D453" s="8" t="n">
        <v>0</v>
      </c>
    </row>
    <row r="454">
      <c r="A454" s="8" t="inlineStr">
        <is>
          <t>EHF-T1020</t>
        </is>
      </c>
      <c r="B454" s="8" t="inlineStr">
        <is>
          <t>EHF-T2020</t>
        </is>
      </c>
      <c r="C454" s="8" t="inlineStr">
        <is>
          <t>FS</t>
        </is>
      </c>
      <c r="D454" s="8" t="n">
        <v>0</v>
      </c>
    </row>
    <row r="455">
      <c r="A455" s="8" t="inlineStr">
        <is>
          <t>EHF-C2100</t>
        </is>
      </c>
      <c r="B455" s="8" t="inlineStr">
        <is>
          <t>EHF-E1130</t>
        </is>
      </c>
      <c r="C455" s="8" t="inlineStr">
        <is>
          <t>FS</t>
        </is>
      </c>
      <c r="D455" s="8" t="n">
        <v>0</v>
      </c>
    </row>
    <row r="456">
      <c r="A456" s="8" t="inlineStr">
        <is>
          <t>EHF-E1130</t>
        </is>
      </c>
      <c r="B456" s="8" t="inlineStr">
        <is>
          <t>EHF-E1140</t>
        </is>
      </c>
      <c r="C456" s="8" t="inlineStr">
        <is>
          <t>FS</t>
        </is>
      </c>
      <c r="D456" s="8" t="n">
        <v>0</v>
      </c>
    </row>
    <row r="457">
      <c r="A457" s="8" t="inlineStr">
        <is>
          <t>EHF-T1100</t>
        </is>
      </c>
      <c r="B457" s="8" t="inlineStr">
        <is>
          <t>EHF-T3010</t>
        </is>
      </c>
      <c r="C457" s="8" t="inlineStr">
        <is>
          <t>FS</t>
        </is>
      </c>
      <c r="D457" s="8" t="n">
        <v>0</v>
      </c>
    </row>
    <row r="458">
      <c r="A458" s="8" t="inlineStr">
        <is>
          <t>EHF-T2010</t>
        </is>
      </c>
      <c r="B458" s="8" t="inlineStr">
        <is>
          <t>EHF-T3010</t>
        </is>
      </c>
      <c r="C458" s="8" t="inlineStr">
        <is>
          <t>FS</t>
        </is>
      </c>
      <c r="D458" s="8" t="n">
        <v>0</v>
      </c>
    </row>
    <row r="459">
      <c r="A459" s="8" t="inlineStr">
        <is>
          <t>EHF-T2020</t>
        </is>
      </c>
      <c r="B459" s="8" t="inlineStr">
        <is>
          <t>EHF-T3010</t>
        </is>
      </c>
      <c r="C459" s="8" t="inlineStr">
        <is>
          <t>FS</t>
        </is>
      </c>
      <c r="D459" s="8" t="n">
        <v>0</v>
      </c>
    </row>
    <row r="460">
      <c r="A460" s="8" t="inlineStr">
        <is>
          <t>EHF-E1140</t>
        </is>
      </c>
      <c r="B460" s="8" t="inlineStr">
        <is>
          <t>EHF-T3010</t>
        </is>
      </c>
      <c r="C460" s="8" t="inlineStr">
        <is>
          <t>FS</t>
        </is>
      </c>
      <c r="D460" s="8" t="n">
        <v>0</v>
      </c>
    </row>
    <row r="461">
      <c r="A461" s="8" t="inlineStr">
        <is>
          <t>EHF-T3010</t>
        </is>
      </c>
      <c r="B461" s="8" t="inlineStr">
        <is>
          <t>EHF-T3100</t>
        </is>
      </c>
      <c r="C461" s="8" t="inlineStr">
        <is>
          <t>FS</t>
        </is>
      </c>
      <c r="D461" s="8" t="n">
        <v>0</v>
      </c>
    </row>
    <row r="462">
      <c r="A462" s="8" t="inlineStr">
        <is>
          <t>PRJ-A1060</t>
        </is>
      </c>
      <c r="B462" s="8" t="inlineStr">
        <is>
          <t>NMJ-E1010</t>
        </is>
      </c>
      <c r="C462" s="8" t="inlineStr">
        <is>
          <t>FS</t>
        </is>
      </c>
      <c r="D462" s="8" t="n">
        <v>0</v>
      </c>
    </row>
    <row r="463">
      <c r="A463" s="8" t="inlineStr">
        <is>
          <t>PRJ-M1150</t>
        </is>
      </c>
      <c r="B463" s="8" t="inlineStr">
        <is>
          <t>NMJ-E1010</t>
        </is>
      </c>
      <c r="C463" s="8" t="inlineStr">
        <is>
          <t>FS</t>
        </is>
      </c>
      <c r="D463" s="8" t="n">
        <v>175</v>
      </c>
    </row>
    <row r="464">
      <c r="A464" s="8" t="inlineStr">
        <is>
          <t>NMJ-E1010</t>
        </is>
      </c>
      <c r="B464" s="8" t="inlineStr">
        <is>
          <t>NMJ-E1020</t>
        </is>
      </c>
      <c r="C464" s="8" t="inlineStr">
        <is>
          <t>FS</t>
        </is>
      </c>
      <c r="D464" s="8" t="n">
        <v>0</v>
      </c>
    </row>
    <row r="465">
      <c r="A465" s="8" t="inlineStr">
        <is>
          <t>NMJ-E1010</t>
        </is>
      </c>
      <c r="B465" s="8" t="inlineStr">
        <is>
          <t>NMJ-E1030</t>
        </is>
      </c>
      <c r="C465" s="8" t="inlineStr">
        <is>
          <t>FS</t>
        </is>
      </c>
      <c r="D465" s="8" t="n">
        <v>0</v>
      </c>
    </row>
    <row r="466">
      <c r="A466" s="8" t="inlineStr">
        <is>
          <t>NMJ-E1030</t>
        </is>
      </c>
      <c r="B466" s="8" t="inlineStr">
        <is>
          <t>NMJ-E1040</t>
        </is>
      </c>
      <c r="C466" s="8" t="inlineStr">
        <is>
          <t>FS</t>
        </is>
      </c>
      <c r="D466" s="8" t="n">
        <v>0</v>
      </c>
    </row>
    <row r="467">
      <c r="A467" s="8" t="inlineStr">
        <is>
          <t>NMJ-E1030</t>
        </is>
      </c>
      <c r="B467" s="8" t="inlineStr">
        <is>
          <t>NMJ-E1050</t>
        </is>
      </c>
      <c r="C467" s="8" t="inlineStr">
        <is>
          <t>FS</t>
        </is>
      </c>
      <c r="D467" s="8" t="n">
        <v>0</v>
      </c>
    </row>
    <row r="468">
      <c r="A468" s="8" t="inlineStr">
        <is>
          <t>NMJ-E1050</t>
        </is>
      </c>
      <c r="B468" s="8" t="inlineStr">
        <is>
          <t>NMJ-E1060</t>
        </is>
      </c>
      <c r="C468" s="8" t="inlineStr">
        <is>
          <t>FS</t>
        </is>
      </c>
      <c r="D468" s="8" t="n">
        <v>0</v>
      </c>
    </row>
    <row r="469">
      <c r="A469" s="8" t="inlineStr">
        <is>
          <t>NMJ-E1050</t>
        </is>
      </c>
      <c r="B469" s="8" t="inlineStr">
        <is>
          <t>NMJ-E1070</t>
        </is>
      </c>
      <c r="C469" s="8" t="inlineStr">
        <is>
          <t>FS</t>
        </is>
      </c>
      <c r="D469" s="8" t="n">
        <v>0</v>
      </c>
    </row>
    <row r="470">
      <c r="A470" s="8" t="inlineStr">
        <is>
          <t>NMJ-E1070</t>
        </is>
      </c>
      <c r="B470" s="8" t="inlineStr">
        <is>
          <t>NMJ-E1080</t>
        </is>
      </c>
      <c r="C470" s="8" t="inlineStr">
        <is>
          <t>FS</t>
        </is>
      </c>
      <c r="D470" s="8" t="n">
        <v>0</v>
      </c>
    </row>
    <row r="471">
      <c r="A471" s="8" t="inlineStr">
        <is>
          <t>NMJ-E1070</t>
        </is>
      </c>
      <c r="B471" s="8" t="inlineStr">
        <is>
          <t>NMJ-E1090</t>
        </is>
      </c>
      <c r="C471" s="8" t="inlineStr">
        <is>
          <t>FS</t>
        </is>
      </c>
      <c r="D471" s="8" t="n">
        <v>0</v>
      </c>
    </row>
    <row r="472">
      <c r="A472" s="8" t="inlineStr">
        <is>
          <t>NMJ-E1090</t>
        </is>
      </c>
      <c r="B472" s="8" t="inlineStr">
        <is>
          <t>NMJ-E1100</t>
        </is>
      </c>
      <c r="C472" s="8" t="inlineStr">
        <is>
          <t>FS</t>
        </is>
      </c>
      <c r="D472" s="8" t="n">
        <v>0</v>
      </c>
    </row>
    <row r="473">
      <c r="A473" s="8" t="inlineStr">
        <is>
          <t>NMJ-E1050</t>
        </is>
      </c>
      <c r="B473" s="8" t="inlineStr">
        <is>
          <t>NMJ-E1110</t>
        </is>
      </c>
      <c r="C473" s="8" t="inlineStr">
        <is>
          <t>FS</t>
        </is>
      </c>
      <c r="D473" s="8" t="n">
        <v>10</v>
      </c>
    </row>
    <row r="474">
      <c r="A474" s="8" t="inlineStr">
        <is>
          <t>NMJ-E1090</t>
        </is>
      </c>
      <c r="B474" s="8" t="inlineStr">
        <is>
          <t>NMJ-E1110</t>
        </is>
      </c>
      <c r="C474" s="8" t="inlineStr">
        <is>
          <t>FF</t>
        </is>
      </c>
      <c r="D474" s="8" t="n">
        <v>0</v>
      </c>
    </row>
    <row r="475">
      <c r="A475" s="8" t="inlineStr">
        <is>
          <t>NMJ-E1110</t>
        </is>
      </c>
      <c r="B475" s="8" t="inlineStr">
        <is>
          <t>NMJ-E1120</t>
        </is>
      </c>
      <c r="C475" s="8" t="inlineStr">
        <is>
          <t>FS</t>
        </is>
      </c>
      <c r="D475" s="8" t="n">
        <v>0</v>
      </c>
    </row>
    <row r="476">
      <c r="A476" s="8" t="inlineStr">
        <is>
          <t>NMJ-E1090</t>
        </is>
      </c>
      <c r="B476" s="8" t="inlineStr">
        <is>
          <t>NMJ-E1200</t>
        </is>
      </c>
      <c r="C476" s="8" t="inlineStr">
        <is>
          <t>FS</t>
        </is>
      </c>
      <c r="D476" s="8" t="n">
        <v>0</v>
      </c>
    </row>
    <row r="477">
      <c r="A477" s="8" t="inlineStr">
        <is>
          <t>NMJ-E1110</t>
        </is>
      </c>
      <c r="B477" s="8" t="inlineStr">
        <is>
          <t>NMJ-E1200</t>
        </is>
      </c>
      <c r="C477" s="8" t="inlineStr">
        <is>
          <t>FS</t>
        </is>
      </c>
      <c r="D477" s="8" t="n">
        <v>0</v>
      </c>
    </row>
    <row r="478">
      <c r="A478" s="8" t="inlineStr">
        <is>
          <t>NMJ-E1020</t>
        </is>
      </c>
      <c r="B478" s="8" t="inlineStr">
        <is>
          <t>NMJ-E1210</t>
        </is>
      </c>
      <c r="C478" s="8" t="inlineStr">
        <is>
          <t>FS</t>
        </is>
      </c>
      <c r="D478" s="8" t="n">
        <v>0</v>
      </c>
    </row>
    <row r="479">
      <c r="A479" s="8" t="inlineStr">
        <is>
          <t>NMJ-E1040</t>
        </is>
      </c>
      <c r="B479" s="8" t="inlineStr">
        <is>
          <t>NMJ-E1210</t>
        </is>
      </c>
      <c r="C479" s="8" t="inlineStr">
        <is>
          <t>FS</t>
        </is>
      </c>
      <c r="D479" s="8" t="n">
        <v>0</v>
      </c>
    </row>
    <row r="480">
      <c r="A480" s="8" t="inlineStr">
        <is>
          <t>NMJ-E1060</t>
        </is>
      </c>
      <c r="B480" s="8" t="inlineStr">
        <is>
          <t>NMJ-E1210</t>
        </is>
      </c>
      <c r="C480" s="8" t="inlineStr">
        <is>
          <t>FS</t>
        </is>
      </c>
      <c r="D480" s="8" t="n">
        <v>0</v>
      </c>
    </row>
    <row r="481">
      <c r="A481" s="8" t="inlineStr">
        <is>
          <t>NMJ-E1080</t>
        </is>
      </c>
      <c r="B481" s="8" t="inlineStr">
        <is>
          <t>NMJ-E1210</t>
        </is>
      </c>
      <c r="C481" s="8" t="inlineStr">
        <is>
          <t>FS</t>
        </is>
      </c>
      <c r="D481" s="8" t="n">
        <v>0</v>
      </c>
    </row>
    <row r="482">
      <c r="A482" s="8" t="inlineStr">
        <is>
          <t>NMJ-E1100</t>
        </is>
      </c>
      <c r="B482" s="8" t="inlineStr">
        <is>
          <t>NMJ-E1210</t>
        </is>
      </c>
      <c r="C482" s="8" t="inlineStr">
        <is>
          <t>FS</t>
        </is>
      </c>
      <c r="D482" s="8" t="n">
        <v>0</v>
      </c>
    </row>
    <row r="483">
      <c r="A483" s="8" t="inlineStr">
        <is>
          <t>NMJ-E1120</t>
        </is>
      </c>
      <c r="B483" s="8" t="inlineStr">
        <is>
          <t>NMJ-E1210</t>
        </is>
      </c>
      <c r="C483" s="8" t="inlineStr">
        <is>
          <t>FS</t>
        </is>
      </c>
      <c r="D483" s="8" t="n">
        <v>0</v>
      </c>
    </row>
    <row r="484">
      <c r="A484" s="8" t="inlineStr">
        <is>
          <t>NMJ-E1200</t>
        </is>
      </c>
      <c r="B484" s="8" t="inlineStr">
        <is>
          <t>NMJ-E1210</t>
        </is>
      </c>
      <c r="C484" s="8" t="inlineStr">
        <is>
          <t>FS</t>
        </is>
      </c>
      <c r="D484" s="8" t="n">
        <v>0</v>
      </c>
    </row>
    <row r="485">
      <c r="A485" s="8" t="inlineStr">
        <is>
          <t>NMJ-E1210</t>
        </is>
      </c>
      <c r="B485" s="8" t="inlineStr">
        <is>
          <t>NMJ-P1010</t>
        </is>
      </c>
      <c r="C485" s="8" t="inlineStr">
        <is>
          <t>FS</t>
        </is>
      </c>
      <c r="D485" s="8" t="n">
        <v>0</v>
      </c>
    </row>
    <row r="486">
      <c r="A486" s="8" t="inlineStr">
        <is>
          <t>NMJ-E1210</t>
        </is>
      </c>
      <c r="B486" s="8" t="inlineStr">
        <is>
          <t>NMJ-P1020</t>
        </is>
      </c>
      <c r="C486" s="8" t="inlineStr">
        <is>
          <t>FS</t>
        </is>
      </c>
      <c r="D486" s="8" t="n">
        <v>0</v>
      </c>
    </row>
    <row r="487">
      <c r="A487" s="8" t="inlineStr">
        <is>
          <t>NMJ-E1210</t>
        </is>
      </c>
      <c r="B487" s="8" t="inlineStr">
        <is>
          <t>NMJ-P1030</t>
        </is>
      </c>
      <c r="C487" s="8" t="inlineStr">
        <is>
          <t>FS</t>
        </is>
      </c>
      <c r="D487" s="8" t="n">
        <v>0</v>
      </c>
    </row>
    <row r="488">
      <c r="A488" s="8" t="inlineStr">
        <is>
          <t>NMJ-E1210</t>
        </is>
      </c>
      <c r="B488" s="8" t="inlineStr">
        <is>
          <t>NMJ-P1040</t>
        </is>
      </c>
      <c r="C488" s="8" t="inlineStr">
        <is>
          <t>FS</t>
        </is>
      </c>
      <c r="D488" s="8" t="n">
        <v>0</v>
      </c>
    </row>
    <row r="489">
      <c r="A489" s="8" t="inlineStr">
        <is>
          <t>NMJ-P1010</t>
        </is>
      </c>
      <c r="B489" s="8" t="inlineStr">
        <is>
          <t>NMJ-P1050</t>
        </is>
      </c>
      <c r="C489" s="8" t="inlineStr">
        <is>
          <t>FS</t>
        </is>
      </c>
      <c r="D489" s="8" t="n">
        <v>0</v>
      </c>
    </row>
    <row r="490">
      <c r="A490" s="8" t="inlineStr">
        <is>
          <t>NMJ-P1020</t>
        </is>
      </c>
      <c r="B490" s="8" t="inlineStr">
        <is>
          <t>NMJ-P1050</t>
        </is>
      </c>
      <c r="C490" s="8" t="inlineStr">
        <is>
          <t>FS</t>
        </is>
      </c>
      <c r="D490" s="8" t="n">
        <v>0</v>
      </c>
    </row>
    <row r="491">
      <c r="A491" s="8" t="inlineStr">
        <is>
          <t>NMJ-P1030</t>
        </is>
      </c>
      <c r="B491" s="8" t="inlineStr">
        <is>
          <t>NMJ-P1050</t>
        </is>
      </c>
      <c r="C491" s="8" t="inlineStr">
        <is>
          <t>FS</t>
        </is>
      </c>
      <c r="D491" s="8" t="n">
        <v>0</v>
      </c>
    </row>
    <row r="492">
      <c r="A492" s="8" t="inlineStr">
        <is>
          <t>NMJ-P1040</t>
        </is>
      </c>
      <c r="B492" s="8" t="inlineStr">
        <is>
          <t>NMJ-P1050</t>
        </is>
      </c>
      <c r="C492" s="8" t="inlineStr">
        <is>
          <t>FS</t>
        </is>
      </c>
      <c r="D492" s="8" t="n">
        <v>0</v>
      </c>
    </row>
    <row r="493">
      <c r="A493" s="8" t="inlineStr">
        <is>
          <t>NMJ-P1050</t>
        </is>
      </c>
      <c r="B493" s="8" t="inlineStr">
        <is>
          <t>NMJ-P1060</t>
        </is>
      </c>
      <c r="C493" s="8" t="inlineStr">
        <is>
          <t>FS</t>
        </is>
      </c>
      <c r="D493" s="8" t="n">
        <v>0</v>
      </c>
    </row>
    <row r="494">
      <c r="A494" s="8" t="inlineStr">
        <is>
          <t>NMJ-P1060</t>
        </is>
      </c>
      <c r="B494" s="8" t="inlineStr">
        <is>
          <t>NMJ-P1070</t>
        </is>
      </c>
      <c r="C494" s="8" t="inlineStr">
        <is>
          <t>FS</t>
        </is>
      </c>
      <c r="D494" s="8" t="n">
        <v>0</v>
      </c>
    </row>
    <row r="495">
      <c r="A495" s="8" t="inlineStr">
        <is>
          <t>NMJ-P1070</t>
        </is>
      </c>
      <c r="B495" s="8" t="inlineStr">
        <is>
          <t>NMJ-P1100</t>
        </is>
      </c>
      <c r="C495" s="8" t="inlineStr">
        <is>
          <t>FS</t>
        </is>
      </c>
      <c r="D495" s="8" t="n">
        <v>0</v>
      </c>
    </row>
    <row r="496">
      <c r="A496" s="8" t="inlineStr">
        <is>
          <t>NMJ-P1100</t>
        </is>
      </c>
      <c r="B496" s="8" t="inlineStr">
        <is>
          <t>NMJ-C2010</t>
        </is>
      </c>
      <c r="C496" s="8" t="inlineStr">
        <is>
          <t>FS</t>
        </is>
      </c>
      <c r="D496" s="8" t="n">
        <v>0</v>
      </c>
    </row>
    <row r="497">
      <c r="A497" s="8" t="inlineStr">
        <is>
          <t>NMJ-E1120</t>
        </is>
      </c>
      <c r="B497" s="8" t="inlineStr">
        <is>
          <t>NMJ-X1010</t>
        </is>
      </c>
      <c r="C497" s="8" t="inlineStr">
        <is>
          <t>FS</t>
        </is>
      </c>
      <c r="D497" s="8" t="n">
        <v>0</v>
      </c>
    </row>
    <row r="498">
      <c r="A498" s="8" t="inlineStr">
        <is>
          <t>NMJ-X1010</t>
        </is>
      </c>
      <c r="B498" s="8" t="inlineStr">
        <is>
          <t>NMJ-X1020</t>
        </is>
      </c>
      <c r="C498" s="8" t="inlineStr">
        <is>
          <t>FS</t>
        </is>
      </c>
      <c r="D498" s="8" t="n">
        <v>0</v>
      </c>
    </row>
    <row r="499">
      <c r="A499" s="8" t="inlineStr">
        <is>
          <t>NMJ-X1020</t>
        </is>
      </c>
      <c r="B499" s="8" t="inlineStr">
        <is>
          <t>NMJ-C1010</t>
        </is>
      </c>
      <c r="C499" s="8" t="inlineStr">
        <is>
          <t>FS</t>
        </is>
      </c>
      <c r="D499" s="8" t="n">
        <v>0</v>
      </c>
    </row>
    <row r="500">
      <c r="A500" s="8" t="inlineStr">
        <is>
          <t>NMJ-C2010</t>
        </is>
      </c>
      <c r="B500" s="8" t="inlineStr">
        <is>
          <t>NMJ-C2020</t>
        </is>
      </c>
      <c r="C500" s="8" t="inlineStr">
        <is>
          <t>SS</t>
        </is>
      </c>
      <c r="D500" s="8" t="n">
        <v>4</v>
      </c>
    </row>
    <row r="501">
      <c r="A501" s="8" t="inlineStr">
        <is>
          <t>NMJ-C1010</t>
        </is>
      </c>
      <c r="B501" s="8" t="inlineStr">
        <is>
          <t>NMJ-C2020</t>
        </is>
      </c>
      <c r="C501" s="8" t="inlineStr">
        <is>
          <t>SS</t>
        </is>
      </c>
      <c r="D501" s="8" t="n">
        <v>41</v>
      </c>
    </row>
    <row r="502">
      <c r="A502" s="8" t="inlineStr">
        <is>
          <t>NMJ-C1010</t>
        </is>
      </c>
      <c r="B502" s="8" t="inlineStr">
        <is>
          <t>NMJ-C1020</t>
        </is>
      </c>
      <c r="C502" s="8" t="inlineStr">
        <is>
          <t>SS</t>
        </is>
      </c>
      <c r="D502" s="8" t="n">
        <v>37</v>
      </c>
    </row>
    <row r="503">
      <c r="A503" s="8" t="inlineStr">
        <is>
          <t>NMJ-C2020</t>
        </is>
      </c>
      <c r="B503" s="8" t="inlineStr">
        <is>
          <t>NMJ-C2030</t>
        </is>
      </c>
      <c r="C503" s="8" t="inlineStr">
        <is>
          <t>FS</t>
        </is>
      </c>
      <c r="D503" s="8" t="n">
        <v>0</v>
      </c>
    </row>
    <row r="504">
      <c r="A504" s="8" t="inlineStr">
        <is>
          <t>NMJ-C1020</t>
        </is>
      </c>
      <c r="B504" s="8" t="inlineStr">
        <is>
          <t>NMJ-C2030</t>
        </is>
      </c>
      <c r="C504" s="8" t="inlineStr">
        <is>
          <t>FS</t>
        </is>
      </c>
      <c r="D504" s="8" t="n">
        <v>0</v>
      </c>
    </row>
    <row r="505">
      <c r="A505" s="8" t="inlineStr">
        <is>
          <t>NMJ-C2010</t>
        </is>
      </c>
      <c r="B505" s="8" t="inlineStr">
        <is>
          <t>NMJ-C2040</t>
        </is>
      </c>
      <c r="C505" s="8" t="inlineStr">
        <is>
          <t>FS</t>
        </is>
      </c>
      <c r="D505" s="8" t="n">
        <v>0</v>
      </c>
    </row>
    <row r="506">
      <c r="A506" s="8" t="inlineStr">
        <is>
          <t>NMJ-C2010</t>
        </is>
      </c>
      <c r="B506" s="8" t="inlineStr">
        <is>
          <t>NMJ-C2050</t>
        </is>
      </c>
      <c r="C506" s="8" t="inlineStr">
        <is>
          <t>FS</t>
        </is>
      </c>
      <c r="D506" s="8" t="n">
        <v>4</v>
      </c>
    </row>
    <row r="507">
      <c r="A507" s="8" t="inlineStr">
        <is>
          <t>NMJ-C2020</t>
        </is>
      </c>
      <c r="B507" s="8" t="inlineStr">
        <is>
          <t>NMJ-C2100</t>
        </is>
      </c>
      <c r="C507" s="8" t="inlineStr">
        <is>
          <t>FS</t>
        </is>
      </c>
      <c r="D507" s="8" t="n">
        <v>0</v>
      </c>
    </row>
    <row r="508">
      <c r="A508" s="8" t="inlineStr">
        <is>
          <t>NMJ-C2030</t>
        </is>
      </c>
      <c r="B508" s="8" t="inlineStr">
        <is>
          <t>NMJ-C2100</t>
        </is>
      </c>
      <c r="C508" s="8" t="inlineStr">
        <is>
          <t>FS</t>
        </is>
      </c>
      <c r="D508" s="8" t="n">
        <v>0</v>
      </c>
    </row>
    <row r="509">
      <c r="A509" s="8" t="inlineStr">
        <is>
          <t>NMJ-C2040</t>
        </is>
      </c>
      <c r="B509" s="8" t="inlineStr">
        <is>
          <t>NMJ-C2100</t>
        </is>
      </c>
      <c r="C509" s="8" t="inlineStr">
        <is>
          <t>FS</t>
        </is>
      </c>
      <c r="D509" s="8" t="n">
        <v>0</v>
      </c>
    </row>
    <row r="510">
      <c r="A510" s="8" t="inlineStr">
        <is>
          <t>NMJ-C2050</t>
        </is>
      </c>
      <c r="B510" s="8" t="inlineStr">
        <is>
          <t>NMJ-C2100</t>
        </is>
      </c>
      <c r="C510" s="8" t="inlineStr">
        <is>
          <t>FS</t>
        </is>
      </c>
      <c r="D510" s="8" t="n">
        <v>0</v>
      </c>
    </row>
    <row r="511">
      <c r="A511" s="8" t="inlineStr">
        <is>
          <t>NMJ-C1020</t>
        </is>
      </c>
      <c r="B511" s="8" t="inlineStr">
        <is>
          <t>NMJ-C2100</t>
        </is>
      </c>
      <c r="C511" s="8" t="inlineStr">
        <is>
          <t>FS</t>
        </is>
      </c>
      <c r="D511" s="8" t="n">
        <v>0</v>
      </c>
    </row>
    <row r="512">
      <c r="A512" s="8" t="inlineStr">
        <is>
          <t>NMJ-C2100</t>
        </is>
      </c>
      <c r="B512" s="8" t="inlineStr">
        <is>
          <t>NMJ-T1010</t>
        </is>
      </c>
      <c r="C512" s="8" t="inlineStr">
        <is>
          <t>FS</t>
        </is>
      </c>
      <c r="D512" s="8" t="n">
        <v>0</v>
      </c>
    </row>
    <row r="513">
      <c r="A513" s="8" t="inlineStr">
        <is>
          <t>NMJ-T1010</t>
        </is>
      </c>
      <c r="B513" s="8" t="inlineStr">
        <is>
          <t>NMJ-T1020</t>
        </is>
      </c>
      <c r="C513" s="8" t="inlineStr">
        <is>
          <t>FS</t>
        </is>
      </c>
      <c r="D513" s="8" t="n">
        <v>0</v>
      </c>
    </row>
    <row r="514">
      <c r="A514" s="8" t="inlineStr">
        <is>
          <t>NMJ-T1020</t>
        </is>
      </c>
      <c r="B514" s="8" t="inlineStr">
        <is>
          <t>NMJ-T1100</t>
        </is>
      </c>
      <c r="C514" s="8" t="inlineStr">
        <is>
          <t>FS</t>
        </is>
      </c>
      <c r="D514" s="8" t="n">
        <v>0</v>
      </c>
    </row>
    <row r="515">
      <c r="A515" s="8" t="inlineStr">
        <is>
          <t>NMJ-T1020</t>
        </is>
      </c>
      <c r="B515" s="8" t="inlineStr">
        <is>
          <t>NMJ-T2010</t>
        </is>
      </c>
      <c r="C515" s="8" t="inlineStr">
        <is>
          <t>FS</t>
        </is>
      </c>
      <c r="D515" s="8" t="n">
        <v>0</v>
      </c>
    </row>
    <row r="516">
      <c r="A516" s="8" t="inlineStr">
        <is>
          <t>NMJ-T1020</t>
        </is>
      </c>
      <c r="B516" s="8" t="inlineStr">
        <is>
          <t>NMJ-T2020</t>
        </is>
      </c>
      <c r="C516" s="8" t="inlineStr">
        <is>
          <t>FS</t>
        </is>
      </c>
      <c r="D516" s="8" t="n">
        <v>0</v>
      </c>
    </row>
    <row r="517">
      <c r="A517" s="8" t="inlineStr">
        <is>
          <t>NMJ-C2100</t>
        </is>
      </c>
      <c r="B517" s="8" t="inlineStr">
        <is>
          <t>NMJ-E1130</t>
        </is>
      </c>
      <c r="C517" s="8" t="inlineStr">
        <is>
          <t>FS</t>
        </is>
      </c>
      <c r="D517" s="8" t="n">
        <v>0</v>
      </c>
    </row>
    <row r="518">
      <c r="A518" s="8" t="inlineStr">
        <is>
          <t>NMJ-E1130</t>
        </is>
      </c>
      <c r="B518" s="8" t="inlineStr">
        <is>
          <t>NMJ-E1140</t>
        </is>
      </c>
      <c r="C518" s="8" t="inlineStr">
        <is>
          <t>FS</t>
        </is>
      </c>
      <c r="D518" s="8" t="n">
        <v>0</v>
      </c>
    </row>
    <row r="519">
      <c r="A519" s="8" t="inlineStr">
        <is>
          <t>NMJ-T1100</t>
        </is>
      </c>
      <c r="B519" s="8" t="inlineStr">
        <is>
          <t>NMJ-T3010</t>
        </is>
      </c>
      <c r="C519" s="8" t="inlineStr">
        <is>
          <t>FS</t>
        </is>
      </c>
      <c r="D519" s="8" t="n">
        <v>0</v>
      </c>
    </row>
    <row r="520">
      <c r="A520" s="8" t="inlineStr">
        <is>
          <t>NMJ-T2010</t>
        </is>
      </c>
      <c r="B520" s="8" t="inlineStr">
        <is>
          <t>NMJ-T3010</t>
        </is>
      </c>
      <c r="C520" s="8" t="inlineStr">
        <is>
          <t>FS</t>
        </is>
      </c>
      <c r="D520" s="8" t="n">
        <v>0</v>
      </c>
    </row>
    <row r="521">
      <c r="A521" s="8" t="inlineStr">
        <is>
          <t>NMJ-T2020</t>
        </is>
      </c>
      <c r="B521" s="8" t="inlineStr">
        <is>
          <t>NMJ-T3010</t>
        </is>
      </c>
      <c r="C521" s="8" t="inlineStr">
        <is>
          <t>FS</t>
        </is>
      </c>
      <c r="D521" s="8" t="n">
        <v>0</v>
      </c>
    </row>
    <row r="522">
      <c r="A522" s="8" t="inlineStr">
        <is>
          <t>NMJ-E1140</t>
        </is>
      </c>
      <c r="B522" s="8" t="inlineStr">
        <is>
          <t>NMJ-T3010</t>
        </is>
      </c>
      <c r="C522" s="8" t="inlineStr">
        <is>
          <t>FS</t>
        </is>
      </c>
      <c r="D522" s="8" t="n">
        <v>0</v>
      </c>
    </row>
    <row r="523">
      <c r="A523" s="8" t="inlineStr">
        <is>
          <t>NMJ-T3010</t>
        </is>
      </c>
      <c r="B523" s="8" t="inlineStr">
        <is>
          <t>NMJ-T3100</t>
        </is>
      </c>
      <c r="C523" s="8" t="inlineStr">
        <is>
          <t>FS</t>
        </is>
      </c>
      <c r="D523" s="8" t="n">
        <v>0</v>
      </c>
    </row>
    <row r="524">
      <c r="A524" s="8" t="inlineStr">
        <is>
          <t>PRJ-A1060</t>
        </is>
      </c>
      <c r="B524" s="8" t="inlineStr">
        <is>
          <t>HKA-E1010</t>
        </is>
      </c>
      <c r="C524" s="8" t="inlineStr">
        <is>
          <t>FS</t>
        </is>
      </c>
      <c r="D524" s="8" t="n">
        <v>0</v>
      </c>
    </row>
    <row r="525">
      <c r="A525" s="8" t="inlineStr">
        <is>
          <t>PRJ-M1150</t>
        </is>
      </c>
      <c r="B525" s="8" t="inlineStr">
        <is>
          <t>HKA-E1010</t>
        </is>
      </c>
      <c r="C525" s="8" t="inlineStr">
        <is>
          <t>FS</t>
        </is>
      </c>
      <c r="D525" s="8" t="n">
        <v>258</v>
      </c>
    </row>
    <row r="526">
      <c r="A526" s="8" t="inlineStr">
        <is>
          <t>HKA-E1010</t>
        </is>
      </c>
      <c r="B526" s="8" t="inlineStr">
        <is>
          <t>HKA-E1020</t>
        </is>
      </c>
      <c r="C526" s="8" t="inlineStr">
        <is>
          <t>FS</t>
        </is>
      </c>
      <c r="D526" s="8" t="n">
        <v>0</v>
      </c>
    </row>
    <row r="527">
      <c r="A527" s="8" t="inlineStr">
        <is>
          <t>HKA-E1010</t>
        </is>
      </c>
      <c r="B527" s="8" t="inlineStr">
        <is>
          <t>HKA-E1030</t>
        </is>
      </c>
      <c r="C527" s="8" t="inlineStr">
        <is>
          <t>FS</t>
        </is>
      </c>
      <c r="D527" s="8" t="n">
        <v>0</v>
      </c>
    </row>
    <row r="528">
      <c r="A528" s="8" t="inlineStr">
        <is>
          <t>HKA-E1030</t>
        </is>
      </c>
      <c r="B528" s="8" t="inlineStr">
        <is>
          <t>HKA-E1040</t>
        </is>
      </c>
      <c r="C528" s="8" t="inlineStr">
        <is>
          <t>FS</t>
        </is>
      </c>
      <c r="D528" s="8" t="n">
        <v>0</v>
      </c>
    </row>
    <row r="529">
      <c r="A529" s="8" t="inlineStr">
        <is>
          <t>HKA-E1030</t>
        </is>
      </c>
      <c r="B529" s="8" t="inlineStr">
        <is>
          <t>HKA-E1050</t>
        </is>
      </c>
      <c r="C529" s="8" t="inlineStr">
        <is>
          <t>FS</t>
        </is>
      </c>
      <c r="D529" s="8" t="n">
        <v>0</v>
      </c>
    </row>
    <row r="530">
      <c r="A530" s="8" t="inlineStr">
        <is>
          <t>HKA-E1050</t>
        </is>
      </c>
      <c r="B530" s="8" t="inlineStr">
        <is>
          <t>HKA-E1060</t>
        </is>
      </c>
      <c r="C530" s="8" t="inlineStr">
        <is>
          <t>FS</t>
        </is>
      </c>
      <c r="D530" s="8" t="n">
        <v>0</v>
      </c>
    </row>
    <row r="531">
      <c r="A531" s="8" t="inlineStr">
        <is>
          <t>HKA-E1050</t>
        </is>
      </c>
      <c r="B531" s="8" t="inlineStr">
        <is>
          <t>HKA-E1070</t>
        </is>
      </c>
      <c r="C531" s="8" t="inlineStr">
        <is>
          <t>FS</t>
        </is>
      </c>
      <c r="D531" s="8" t="n">
        <v>0</v>
      </c>
    </row>
    <row r="532">
      <c r="A532" s="8" t="inlineStr">
        <is>
          <t>HKA-E1070</t>
        </is>
      </c>
      <c r="B532" s="8" t="inlineStr">
        <is>
          <t>HKA-E1080</t>
        </is>
      </c>
      <c r="C532" s="8" t="inlineStr">
        <is>
          <t>FS</t>
        </is>
      </c>
      <c r="D532" s="8" t="n">
        <v>0</v>
      </c>
    </row>
    <row r="533">
      <c r="A533" s="8" t="inlineStr">
        <is>
          <t>HKA-E1070</t>
        </is>
      </c>
      <c r="B533" s="8" t="inlineStr">
        <is>
          <t>HKA-E1090</t>
        </is>
      </c>
      <c r="C533" s="8" t="inlineStr">
        <is>
          <t>FS</t>
        </is>
      </c>
      <c r="D533" s="8" t="n">
        <v>0</v>
      </c>
    </row>
    <row r="534">
      <c r="A534" s="8" t="inlineStr">
        <is>
          <t>HKA-E1090</t>
        </is>
      </c>
      <c r="B534" s="8" t="inlineStr">
        <is>
          <t>HKA-E1100</t>
        </is>
      </c>
      <c r="C534" s="8" t="inlineStr">
        <is>
          <t>FS</t>
        </is>
      </c>
      <c r="D534" s="8" t="n">
        <v>0</v>
      </c>
    </row>
    <row r="535">
      <c r="A535" s="8" t="inlineStr">
        <is>
          <t>HKA-E1050</t>
        </is>
      </c>
      <c r="B535" s="8" t="inlineStr">
        <is>
          <t>HKA-E1110</t>
        </is>
      </c>
      <c r="C535" s="8" t="inlineStr">
        <is>
          <t>FS</t>
        </is>
      </c>
      <c r="D535" s="8" t="n">
        <v>7</v>
      </c>
    </row>
    <row r="536">
      <c r="A536" s="8" t="inlineStr">
        <is>
          <t>HKA-E1090</t>
        </is>
      </c>
      <c r="B536" s="8" t="inlineStr">
        <is>
          <t>HKA-E1110</t>
        </is>
      </c>
      <c r="C536" s="8" t="inlineStr">
        <is>
          <t>FF</t>
        </is>
      </c>
      <c r="D536" s="8" t="n">
        <v>0</v>
      </c>
    </row>
    <row r="537">
      <c r="A537" s="8" t="inlineStr">
        <is>
          <t>HKA-E1110</t>
        </is>
      </c>
      <c r="B537" s="8" t="inlineStr">
        <is>
          <t>HKA-E1120</t>
        </is>
      </c>
      <c r="C537" s="8" t="inlineStr">
        <is>
          <t>FS</t>
        </is>
      </c>
      <c r="D537" s="8" t="n">
        <v>0</v>
      </c>
    </row>
    <row r="538">
      <c r="A538" s="8" t="inlineStr">
        <is>
          <t>HKA-E1090</t>
        </is>
      </c>
      <c r="B538" s="8" t="inlineStr">
        <is>
          <t>HKA-E1200</t>
        </is>
      </c>
      <c r="C538" s="8" t="inlineStr">
        <is>
          <t>FS</t>
        </is>
      </c>
      <c r="D538" s="8" t="n">
        <v>0</v>
      </c>
    </row>
    <row r="539">
      <c r="A539" s="8" t="inlineStr">
        <is>
          <t>HKA-E1110</t>
        </is>
      </c>
      <c r="B539" s="8" t="inlineStr">
        <is>
          <t>HKA-E1200</t>
        </is>
      </c>
      <c r="C539" s="8" t="inlineStr">
        <is>
          <t>FS</t>
        </is>
      </c>
      <c r="D539" s="8" t="n">
        <v>0</v>
      </c>
    </row>
    <row r="540">
      <c r="A540" s="8" t="inlineStr">
        <is>
          <t>HKA-E1020</t>
        </is>
      </c>
      <c r="B540" s="8" t="inlineStr">
        <is>
          <t>HKA-E1210</t>
        </is>
      </c>
      <c r="C540" s="8" t="inlineStr">
        <is>
          <t>FS</t>
        </is>
      </c>
      <c r="D540" s="8" t="n">
        <v>0</v>
      </c>
    </row>
    <row r="541">
      <c r="A541" s="8" t="inlineStr">
        <is>
          <t>HKA-E1040</t>
        </is>
      </c>
      <c r="B541" s="8" t="inlineStr">
        <is>
          <t>HKA-E1210</t>
        </is>
      </c>
      <c r="C541" s="8" t="inlineStr">
        <is>
          <t>FS</t>
        </is>
      </c>
      <c r="D541" s="8" t="n">
        <v>0</v>
      </c>
    </row>
    <row r="542">
      <c r="A542" s="8" t="inlineStr">
        <is>
          <t>HKA-E1060</t>
        </is>
      </c>
      <c r="B542" s="8" t="inlineStr">
        <is>
          <t>HKA-E1210</t>
        </is>
      </c>
      <c r="C542" s="8" t="inlineStr">
        <is>
          <t>FS</t>
        </is>
      </c>
      <c r="D542" s="8" t="n">
        <v>0</v>
      </c>
    </row>
    <row r="543">
      <c r="A543" s="8" t="inlineStr">
        <is>
          <t>HKA-E1080</t>
        </is>
      </c>
      <c r="B543" s="8" t="inlineStr">
        <is>
          <t>HKA-E1210</t>
        </is>
      </c>
      <c r="C543" s="8" t="inlineStr">
        <is>
          <t>FS</t>
        </is>
      </c>
      <c r="D543" s="8" t="n">
        <v>0</v>
      </c>
    </row>
    <row r="544">
      <c r="A544" s="8" t="inlineStr">
        <is>
          <t>HKA-E1100</t>
        </is>
      </c>
      <c r="B544" s="8" t="inlineStr">
        <is>
          <t>HKA-E1210</t>
        </is>
      </c>
      <c r="C544" s="8" t="inlineStr">
        <is>
          <t>FS</t>
        </is>
      </c>
      <c r="D544" s="8" t="n">
        <v>0</v>
      </c>
    </row>
    <row r="545">
      <c r="A545" s="8" t="inlineStr">
        <is>
          <t>HKA-E1120</t>
        </is>
      </c>
      <c r="B545" s="8" t="inlineStr">
        <is>
          <t>HKA-E1210</t>
        </is>
      </c>
      <c r="C545" s="8" t="inlineStr">
        <is>
          <t>FS</t>
        </is>
      </c>
      <c r="D545" s="8" t="n">
        <v>0</v>
      </c>
    </row>
    <row r="546">
      <c r="A546" s="8" t="inlineStr">
        <is>
          <t>HKA-E1200</t>
        </is>
      </c>
      <c r="B546" s="8" t="inlineStr">
        <is>
          <t>HKA-E1210</t>
        </is>
      </c>
      <c r="C546" s="8" t="inlineStr">
        <is>
          <t>FS</t>
        </is>
      </c>
      <c r="D546" s="8" t="n">
        <v>0</v>
      </c>
    </row>
    <row r="547">
      <c r="A547" s="8" t="inlineStr">
        <is>
          <t>HKA-E1210</t>
        </is>
      </c>
      <c r="B547" s="8" t="inlineStr">
        <is>
          <t>HKA-P1010</t>
        </is>
      </c>
      <c r="C547" s="8" t="inlineStr">
        <is>
          <t>FS</t>
        </is>
      </c>
      <c r="D547" s="8" t="n">
        <v>0</v>
      </c>
    </row>
    <row r="548">
      <c r="A548" s="8" t="inlineStr">
        <is>
          <t>HKA-E1210</t>
        </is>
      </c>
      <c r="B548" s="8" t="inlineStr">
        <is>
          <t>HKA-P1020</t>
        </is>
      </c>
      <c r="C548" s="8" t="inlineStr">
        <is>
          <t>FS</t>
        </is>
      </c>
      <c r="D548" s="8" t="n">
        <v>0</v>
      </c>
    </row>
    <row r="549">
      <c r="A549" s="8" t="inlineStr">
        <is>
          <t>HKA-E1210</t>
        </is>
      </c>
      <c r="B549" s="8" t="inlineStr">
        <is>
          <t>HKA-P1030</t>
        </is>
      </c>
      <c r="C549" s="8" t="inlineStr">
        <is>
          <t>FS</t>
        </is>
      </c>
      <c r="D549" s="8" t="n">
        <v>0</v>
      </c>
    </row>
    <row r="550">
      <c r="A550" s="8" t="inlineStr">
        <is>
          <t>HKA-E1210</t>
        </is>
      </c>
      <c r="B550" s="8" t="inlineStr">
        <is>
          <t>HKA-P1040</t>
        </is>
      </c>
      <c r="C550" s="8" t="inlineStr">
        <is>
          <t>FS</t>
        </is>
      </c>
      <c r="D550" s="8" t="n">
        <v>0</v>
      </c>
    </row>
    <row r="551">
      <c r="A551" s="8" t="inlineStr">
        <is>
          <t>HKA-P1010</t>
        </is>
      </c>
      <c r="B551" s="8" t="inlineStr">
        <is>
          <t>HKA-P1050</t>
        </is>
      </c>
      <c r="C551" s="8" t="inlineStr">
        <is>
          <t>FS</t>
        </is>
      </c>
      <c r="D551" s="8" t="n">
        <v>0</v>
      </c>
    </row>
    <row r="552">
      <c r="A552" s="8" t="inlineStr">
        <is>
          <t>HKA-P1020</t>
        </is>
      </c>
      <c r="B552" s="8" t="inlineStr">
        <is>
          <t>HKA-P1050</t>
        </is>
      </c>
      <c r="C552" s="8" t="inlineStr">
        <is>
          <t>FS</t>
        </is>
      </c>
      <c r="D552" s="8" t="n">
        <v>0</v>
      </c>
    </row>
    <row r="553">
      <c r="A553" s="8" t="inlineStr">
        <is>
          <t>HKA-P1030</t>
        </is>
      </c>
      <c r="B553" s="8" t="inlineStr">
        <is>
          <t>HKA-P1050</t>
        </is>
      </c>
      <c r="C553" s="8" t="inlineStr">
        <is>
          <t>FS</t>
        </is>
      </c>
      <c r="D553" s="8" t="n">
        <v>0</v>
      </c>
    </row>
    <row r="554">
      <c r="A554" s="8" t="inlineStr">
        <is>
          <t>HKA-P1040</t>
        </is>
      </c>
      <c r="B554" s="8" t="inlineStr">
        <is>
          <t>HKA-P1050</t>
        </is>
      </c>
      <c r="C554" s="8" t="inlineStr">
        <is>
          <t>FS</t>
        </is>
      </c>
      <c r="D554" s="8" t="n">
        <v>0</v>
      </c>
    </row>
    <row r="555">
      <c r="A555" s="8" t="inlineStr">
        <is>
          <t>HKA-P1050</t>
        </is>
      </c>
      <c r="B555" s="8" t="inlineStr">
        <is>
          <t>HKA-P1060</t>
        </is>
      </c>
      <c r="C555" s="8" t="inlineStr">
        <is>
          <t>FS</t>
        </is>
      </c>
      <c r="D555" s="8" t="n">
        <v>0</v>
      </c>
    </row>
    <row r="556">
      <c r="A556" s="8" t="inlineStr">
        <is>
          <t>HKA-P1060</t>
        </is>
      </c>
      <c r="B556" s="8" t="inlineStr">
        <is>
          <t>HKA-P1070</t>
        </is>
      </c>
      <c r="C556" s="8" t="inlineStr">
        <is>
          <t>FS</t>
        </is>
      </c>
      <c r="D556" s="8" t="n">
        <v>0</v>
      </c>
    </row>
    <row r="557">
      <c r="A557" s="8" t="inlineStr">
        <is>
          <t>HKA-P1070</t>
        </is>
      </c>
      <c r="B557" s="8" t="inlineStr">
        <is>
          <t>HKA-P1100</t>
        </is>
      </c>
      <c r="C557" s="8" t="inlineStr">
        <is>
          <t>FS</t>
        </is>
      </c>
      <c r="D557" s="8" t="n">
        <v>0</v>
      </c>
    </row>
    <row r="558">
      <c r="A558" s="8" t="inlineStr">
        <is>
          <t>HKA-P1100</t>
        </is>
      </c>
      <c r="B558" s="8" t="inlineStr">
        <is>
          <t>HKA-C2010</t>
        </is>
      </c>
      <c r="C558" s="8" t="inlineStr">
        <is>
          <t>FS</t>
        </is>
      </c>
      <c r="D558" s="8" t="n">
        <v>0</v>
      </c>
    </row>
    <row r="559">
      <c r="A559" s="8" t="inlineStr">
        <is>
          <t>HKA-E1120</t>
        </is>
      </c>
      <c r="B559" s="8" t="inlineStr">
        <is>
          <t>HKA-X1010</t>
        </is>
      </c>
      <c r="C559" s="8" t="inlineStr">
        <is>
          <t>FS</t>
        </is>
      </c>
      <c r="D559" s="8" t="n">
        <v>0</v>
      </c>
    </row>
    <row r="560">
      <c r="A560" s="8" t="inlineStr">
        <is>
          <t>HKA-X1010</t>
        </is>
      </c>
      <c r="B560" s="8" t="inlineStr">
        <is>
          <t>HKA-X1020</t>
        </is>
      </c>
      <c r="C560" s="8" t="inlineStr">
        <is>
          <t>FS</t>
        </is>
      </c>
      <c r="D560" s="8" t="n">
        <v>0</v>
      </c>
    </row>
    <row r="561">
      <c r="A561" s="8" t="inlineStr">
        <is>
          <t>HKA-X1020</t>
        </is>
      </c>
      <c r="B561" s="8" t="inlineStr">
        <is>
          <t>HKA-C1010</t>
        </is>
      </c>
      <c r="C561" s="8" t="inlineStr">
        <is>
          <t>FS</t>
        </is>
      </c>
      <c r="D561" s="8" t="n">
        <v>0</v>
      </c>
    </row>
    <row r="562">
      <c r="A562" s="8" t="inlineStr">
        <is>
          <t>HKA-C2010</t>
        </is>
      </c>
      <c r="B562" s="8" t="inlineStr">
        <is>
          <t>HKA-C2020</t>
        </is>
      </c>
      <c r="C562" s="8" t="inlineStr">
        <is>
          <t>SS</t>
        </is>
      </c>
      <c r="D562" s="8" t="n">
        <v>7</v>
      </c>
    </row>
    <row r="563">
      <c r="A563" s="8" t="inlineStr">
        <is>
          <t>HKA-C1010</t>
        </is>
      </c>
      <c r="B563" s="8" t="inlineStr">
        <is>
          <t>HKA-C2020</t>
        </is>
      </c>
      <c r="C563" s="8" t="inlineStr">
        <is>
          <t>SS</t>
        </is>
      </c>
      <c r="D563" s="8" t="n">
        <v>18</v>
      </c>
    </row>
    <row r="564">
      <c r="A564" s="8" t="inlineStr">
        <is>
          <t>HKA-C1010</t>
        </is>
      </c>
      <c r="B564" s="8" t="inlineStr">
        <is>
          <t>HKA-C1020</t>
        </is>
      </c>
      <c r="C564" s="8" t="inlineStr">
        <is>
          <t>SS</t>
        </is>
      </c>
      <c r="D564" s="8" t="n">
        <v>16</v>
      </c>
    </row>
    <row r="565">
      <c r="A565" s="8" t="inlineStr">
        <is>
          <t>HKA-C2020</t>
        </is>
      </c>
      <c r="B565" s="8" t="inlineStr">
        <is>
          <t>HKA-C2030</t>
        </is>
      </c>
      <c r="C565" s="8" t="inlineStr">
        <is>
          <t>FS</t>
        </is>
      </c>
      <c r="D565" s="8" t="n">
        <v>0</v>
      </c>
    </row>
    <row r="566">
      <c r="A566" s="8" t="inlineStr">
        <is>
          <t>HKA-C1020</t>
        </is>
      </c>
      <c r="B566" s="8" t="inlineStr">
        <is>
          <t>HKA-C2030</t>
        </is>
      </c>
      <c r="C566" s="8" t="inlineStr">
        <is>
          <t>FS</t>
        </is>
      </c>
      <c r="D566" s="8" t="n">
        <v>0</v>
      </c>
    </row>
    <row r="567">
      <c r="A567" s="8" t="inlineStr">
        <is>
          <t>HKA-C2010</t>
        </is>
      </c>
      <c r="B567" s="8" t="inlineStr">
        <is>
          <t>HKA-C2040</t>
        </is>
      </c>
      <c r="C567" s="8" t="inlineStr">
        <is>
          <t>FS</t>
        </is>
      </c>
      <c r="D567" s="8" t="n">
        <v>0</v>
      </c>
    </row>
    <row r="568">
      <c r="A568" s="8" t="inlineStr">
        <is>
          <t>HKA-C2010</t>
        </is>
      </c>
      <c r="B568" s="8" t="inlineStr">
        <is>
          <t>HKA-C2050</t>
        </is>
      </c>
      <c r="C568" s="8" t="inlineStr">
        <is>
          <t>FS</t>
        </is>
      </c>
      <c r="D568" s="8" t="n">
        <v>7</v>
      </c>
    </row>
    <row r="569">
      <c r="A569" s="8" t="inlineStr">
        <is>
          <t>HKA-C2020</t>
        </is>
      </c>
      <c r="B569" s="8" t="inlineStr">
        <is>
          <t>HKA-C2100</t>
        </is>
      </c>
      <c r="C569" s="8" t="inlineStr">
        <is>
          <t>FS</t>
        </is>
      </c>
      <c r="D569" s="8" t="n">
        <v>0</v>
      </c>
    </row>
    <row r="570">
      <c r="A570" s="8" t="inlineStr">
        <is>
          <t>HKA-C2030</t>
        </is>
      </c>
      <c r="B570" s="8" t="inlineStr">
        <is>
          <t>HKA-C2100</t>
        </is>
      </c>
      <c r="C570" s="8" t="inlineStr">
        <is>
          <t>FS</t>
        </is>
      </c>
      <c r="D570" s="8" t="n">
        <v>0</v>
      </c>
    </row>
    <row r="571">
      <c r="A571" s="8" t="inlineStr">
        <is>
          <t>HKA-C2040</t>
        </is>
      </c>
      <c r="B571" s="8" t="inlineStr">
        <is>
          <t>HKA-C2100</t>
        </is>
      </c>
      <c r="C571" s="8" t="inlineStr">
        <is>
          <t>FS</t>
        </is>
      </c>
      <c r="D571" s="8" t="n">
        <v>0</v>
      </c>
    </row>
    <row r="572">
      <c r="A572" s="8" t="inlineStr">
        <is>
          <t>HKA-C2050</t>
        </is>
      </c>
      <c r="B572" s="8" t="inlineStr">
        <is>
          <t>HKA-C2100</t>
        </is>
      </c>
      <c r="C572" s="8" t="inlineStr">
        <is>
          <t>FS</t>
        </is>
      </c>
      <c r="D572" s="8" t="n">
        <v>0</v>
      </c>
    </row>
    <row r="573">
      <c r="A573" s="8" t="inlineStr">
        <is>
          <t>HKA-C1020</t>
        </is>
      </c>
      <c r="B573" s="8" t="inlineStr">
        <is>
          <t>HKA-C2100</t>
        </is>
      </c>
      <c r="C573" s="8" t="inlineStr">
        <is>
          <t>FS</t>
        </is>
      </c>
      <c r="D573" s="8" t="n">
        <v>0</v>
      </c>
    </row>
    <row r="574">
      <c r="A574" s="8" t="inlineStr">
        <is>
          <t>HKA-C2100</t>
        </is>
      </c>
      <c r="B574" s="8" t="inlineStr">
        <is>
          <t>HKA-T1010</t>
        </is>
      </c>
      <c r="C574" s="8" t="inlineStr">
        <is>
          <t>FS</t>
        </is>
      </c>
      <c r="D574" s="8" t="n">
        <v>0</v>
      </c>
    </row>
    <row r="575">
      <c r="A575" s="8" t="inlineStr">
        <is>
          <t>HKA-T1010</t>
        </is>
      </c>
      <c r="B575" s="8" t="inlineStr">
        <is>
          <t>HKA-T1020</t>
        </is>
      </c>
      <c r="C575" s="8" t="inlineStr">
        <is>
          <t>FS</t>
        </is>
      </c>
      <c r="D575" s="8" t="n">
        <v>0</v>
      </c>
    </row>
    <row r="576">
      <c r="A576" s="8" t="inlineStr">
        <is>
          <t>HKA-T1020</t>
        </is>
      </c>
      <c r="B576" s="8" t="inlineStr">
        <is>
          <t>HKA-T1100</t>
        </is>
      </c>
      <c r="C576" s="8" t="inlineStr">
        <is>
          <t>FS</t>
        </is>
      </c>
      <c r="D576" s="8" t="n">
        <v>0</v>
      </c>
    </row>
    <row r="577">
      <c r="A577" s="8" t="inlineStr">
        <is>
          <t>HKA-T1020</t>
        </is>
      </c>
      <c r="B577" s="8" t="inlineStr">
        <is>
          <t>HKA-T2010</t>
        </is>
      </c>
      <c r="C577" s="8" t="inlineStr">
        <is>
          <t>FS</t>
        </is>
      </c>
      <c r="D577" s="8" t="n">
        <v>0</v>
      </c>
    </row>
    <row r="578">
      <c r="A578" s="8" t="inlineStr">
        <is>
          <t>HKA-T1020</t>
        </is>
      </c>
      <c r="B578" s="8" t="inlineStr">
        <is>
          <t>HKA-T2020</t>
        </is>
      </c>
      <c r="C578" s="8" t="inlineStr">
        <is>
          <t>FS</t>
        </is>
      </c>
      <c r="D578" s="8" t="n">
        <v>0</v>
      </c>
    </row>
    <row r="579">
      <c r="A579" s="8" t="inlineStr">
        <is>
          <t>HKA-C2100</t>
        </is>
      </c>
      <c r="B579" s="8" t="inlineStr">
        <is>
          <t>HKA-E1130</t>
        </is>
      </c>
      <c r="C579" s="8" t="inlineStr">
        <is>
          <t>FS</t>
        </is>
      </c>
      <c r="D579" s="8" t="n">
        <v>0</v>
      </c>
    </row>
    <row r="580">
      <c r="A580" s="8" t="inlineStr">
        <is>
          <t>HKA-E1130</t>
        </is>
      </c>
      <c r="B580" s="8" t="inlineStr">
        <is>
          <t>HKA-E1140</t>
        </is>
      </c>
      <c r="C580" s="8" t="inlineStr">
        <is>
          <t>FS</t>
        </is>
      </c>
      <c r="D580" s="8" t="n">
        <v>0</v>
      </c>
    </row>
    <row r="581">
      <c r="A581" s="8" t="inlineStr">
        <is>
          <t>HKA-T1100</t>
        </is>
      </c>
      <c r="B581" s="8" t="inlineStr">
        <is>
          <t>HKA-T3010</t>
        </is>
      </c>
      <c r="C581" s="8" t="inlineStr">
        <is>
          <t>FS</t>
        </is>
      </c>
      <c r="D581" s="8" t="n">
        <v>0</v>
      </c>
    </row>
    <row r="582">
      <c r="A582" s="8" t="inlineStr">
        <is>
          <t>HKA-T2010</t>
        </is>
      </c>
      <c r="B582" s="8" t="inlineStr">
        <is>
          <t>HKA-T3010</t>
        </is>
      </c>
      <c r="C582" s="8" t="inlineStr">
        <is>
          <t>FS</t>
        </is>
      </c>
      <c r="D582" s="8" t="n">
        <v>0</v>
      </c>
    </row>
    <row r="583">
      <c r="A583" s="8" t="inlineStr">
        <is>
          <t>HKA-T2020</t>
        </is>
      </c>
      <c r="B583" s="8" t="inlineStr">
        <is>
          <t>HKA-T3010</t>
        </is>
      </c>
      <c r="C583" s="8" t="inlineStr">
        <is>
          <t>FS</t>
        </is>
      </c>
      <c r="D583" s="8" t="n">
        <v>0</v>
      </c>
    </row>
    <row r="584">
      <c r="A584" s="8" t="inlineStr">
        <is>
          <t>HKA-E1140</t>
        </is>
      </c>
      <c r="B584" s="8" t="inlineStr">
        <is>
          <t>HKA-T3010</t>
        </is>
      </c>
      <c r="C584" s="8" t="inlineStr">
        <is>
          <t>FS</t>
        </is>
      </c>
      <c r="D584" s="8" t="n">
        <v>0</v>
      </c>
    </row>
    <row r="585">
      <c r="A585" s="8" t="inlineStr">
        <is>
          <t>HKA-T3010</t>
        </is>
      </c>
      <c r="B585" s="8" t="inlineStr">
        <is>
          <t>HKA-T3100</t>
        </is>
      </c>
      <c r="C585" s="8" t="inlineStr">
        <is>
          <t>FS</t>
        </is>
      </c>
      <c r="D585" s="8" t="n">
        <v>0</v>
      </c>
    </row>
    <row r="586">
      <c r="A586" s="8" t="inlineStr">
        <is>
          <t>PRJ-A1060</t>
        </is>
      </c>
      <c r="B586" s="8" t="inlineStr">
        <is>
          <t>HMD-E1010</t>
        </is>
      </c>
      <c r="C586" s="8" t="inlineStr">
        <is>
          <t>FS</t>
        </is>
      </c>
      <c r="D586" s="8" t="n">
        <v>0</v>
      </c>
    </row>
    <row r="587">
      <c r="A587" s="8" t="inlineStr">
        <is>
          <t>PRJ-M1150</t>
        </is>
      </c>
      <c r="B587" s="8" t="inlineStr">
        <is>
          <t>HMD-E1010</t>
        </is>
      </c>
      <c r="C587" s="8" t="inlineStr">
        <is>
          <t>FS</t>
        </is>
      </c>
      <c r="D587" s="8" t="n">
        <v>258</v>
      </c>
    </row>
    <row r="588">
      <c r="A588" s="8" t="inlineStr">
        <is>
          <t>HMD-E1010</t>
        </is>
      </c>
      <c r="B588" s="8" t="inlineStr">
        <is>
          <t>HMD-E1020</t>
        </is>
      </c>
      <c r="C588" s="8" t="inlineStr">
        <is>
          <t>FS</t>
        </is>
      </c>
      <c r="D588" s="8" t="n">
        <v>0</v>
      </c>
    </row>
    <row r="589">
      <c r="A589" s="8" t="inlineStr">
        <is>
          <t>HMD-E1010</t>
        </is>
      </c>
      <c r="B589" s="8" t="inlineStr">
        <is>
          <t>HMD-E1030</t>
        </is>
      </c>
      <c r="C589" s="8" t="inlineStr">
        <is>
          <t>FS</t>
        </is>
      </c>
      <c r="D589" s="8" t="n">
        <v>0</v>
      </c>
    </row>
    <row r="590">
      <c r="A590" s="8" t="inlineStr">
        <is>
          <t>HMD-E1030</t>
        </is>
      </c>
      <c r="B590" s="8" t="inlineStr">
        <is>
          <t>HMD-E1040</t>
        </is>
      </c>
      <c r="C590" s="8" t="inlineStr">
        <is>
          <t>FS</t>
        </is>
      </c>
      <c r="D590" s="8" t="n">
        <v>0</v>
      </c>
    </row>
    <row r="591">
      <c r="A591" s="8" t="inlineStr">
        <is>
          <t>HMD-E1030</t>
        </is>
      </c>
      <c r="B591" s="8" t="inlineStr">
        <is>
          <t>HMD-E1050</t>
        </is>
      </c>
      <c r="C591" s="8" t="inlineStr">
        <is>
          <t>FS</t>
        </is>
      </c>
      <c r="D591" s="8" t="n">
        <v>0</v>
      </c>
    </row>
    <row r="592">
      <c r="A592" s="8" t="inlineStr">
        <is>
          <t>HMD-E1050</t>
        </is>
      </c>
      <c r="B592" s="8" t="inlineStr">
        <is>
          <t>HMD-E1060</t>
        </is>
      </c>
      <c r="C592" s="8" t="inlineStr">
        <is>
          <t>FS</t>
        </is>
      </c>
      <c r="D592" s="8" t="n">
        <v>0</v>
      </c>
    </row>
    <row r="593">
      <c r="A593" s="8" t="inlineStr">
        <is>
          <t>HMD-E1050</t>
        </is>
      </c>
      <c r="B593" s="8" t="inlineStr">
        <is>
          <t>HMD-E1070</t>
        </is>
      </c>
      <c r="C593" s="8" t="inlineStr">
        <is>
          <t>FS</t>
        </is>
      </c>
      <c r="D593" s="8" t="n">
        <v>0</v>
      </c>
    </row>
    <row r="594">
      <c r="A594" s="8" t="inlineStr">
        <is>
          <t>HMD-E1070</t>
        </is>
      </c>
      <c r="B594" s="8" t="inlineStr">
        <is>
          <t>HMD-E1080</t>
        </is>
      </c>
      <c r="C594" s="8" t="inlineStr">
        <is>
          <t>FS</t>
        </is>
      </c>
      <c r="D594" s="8" t="n">
        <v>0</v>
      </c>
    </row>
    <row r="595">
      <c r="A595" s="8" t="inlineStr">
        <is>
          <t>HMD-E1070</t>
        </is>
      </c>
      <c r="B595" s="8" t="inlineStr">
        <is>
          <t>HMD-E1090</t>
        </is>
      </c>
      <c r="C595" s="8" t="inlineStr">
        <is>
          <t>FS</t>
        </is>
      </c>
      <c r="D595" s="8" t="n">
        <v>0</v>
      </c>
    </row>
    <row r="596">
      <c r="A596" s="8" t="inlineStr">
        <is>
          <t>HMD-E1090</t>
        </is>
      </c>
      <c r="B596" s="8" t="inlineStr">
        <is>
          <t>HMD-E1100</t>
        </is>
      </c>
      <c r="C596" s="8" t="inlineStr">
        <is>
          <t>FS</t>
        </is>
      </c>
      <c r="D596" s="8" t="n">
        <v>0</v>
      </c>
    </row>
    <row r="597">
      <c r="A597" s="8" t="inlineStr">
        <is>
          <t>HMD-E1050</t>
        </is>
      </c>
      <c r="B597" s="8" t="inlineStr">
        <is>
          <t>HMD-E1110</t>
        </is>
      </c>
      <c r="C597" s="8" t="inlineStr">
        <is>
          <t>FS</t>
        </is>
      </c>
      <c r="D597" s="8" t="n">
        <v>7</v>
      </c>
    </row>
    <row r="598">
      <c r="A598" s="8" t="inlineStr">
        <is>
          <t>HMD-E1090</t>
        </is>
      </c>
      <c r="B598" s="8" t="inlineStr">
        <is>
          <t>HMD-E1110</t>
        </is>
      </c>
      <c r="C598" s="8" t="inlineStr">
        <is>
          <t>FF</t>
        </is>
      </c>
      <c r="D598" s="8" t="n">
        <v>0</v>
      </c>
    </row>
    <row r="599">
      <c r="A599" s="8" t="inlineStr">
        <is>
          <t>HMD-E1110</t>
        </is>
      </c>
      <c r="B599" s="8" t="inlineStr">
        <is>
          <t>HMD-E1120</t>
        </is>
      </c>
      <c r="C599" s="8" t="inlineStr">
        <is>
          <t>FS</t>
        </is>
      </c>
      <c r="D599" s="8" t="n">
        <v>0</v>
      </c>
    </row>
    <row r="600">
      <c r="A600" s="8" t="inlineStr">
        <is>
          <t>HMD-E1090</t>
        </is>
      </c>
      <c r="B600" s="8" t="inlineStr">
        <is>
          <t>HMD-E1200</t>
        </is>
      </c>
      <c r="C600" s="8" t="inlineStr">
        <is>
          <t>FS</t>
        </is>
      </c>
      <c r="D600" s="8" t="n">
        <v>0</v>
      </c>
    </row>
    <row r="601">
      <c r="A601" s="8" t="inlineStr">
        <is>
          <t>HMD-E1110</t>
        </is>
      </c>
      <c r="B601" s="8" t="inlineStr">
        <is>
          <t>HMD-E1200</t>
        </is>
      </c>
      <c r="C601" s="8" t="inlineStr">
        <is>
          <t>FS</t>
        </is>
      </c>
      <c r="D601" s="8" t="n">
        <v>0</v>
      </c>
    </row>
    <row r="602">
      <c r="A602" s="8" t="inlineStr">
        <is>
          <t>HMD-E1020</t>
        </is>
      </c>
      <c r="B602" s="8" t="inlineStr">
        <is>
          <t>HMD-E1210</t>
        </is>
      </c>
      <c r="C602" s="8" t="inlineStr">
        <is>
          <t>FS</t>
        </is>
      </c>
      <c r="D602" s="8" t="n">
        <v>0</v>
      </c>
    </row>
    <row r="603">
      <c r="A603" s="8" t="inlineStr">
        <is>
          <t>HMD-E1040</t>
        </is>
      </c>
      <c r="B603" s="8" t="inlineStr">
        <is>
          <t>HMD-E1210</t>
        </is>
      </c>
      <c r="C603" s="8" t="inlineStr">
        <is>
          <t>FS</t>
        </is>
      </c>
      <c r="D603" s="8" t="n">
        <v>0</v>
      </c>
    </row>
    <row r="604">
      <c r="A604" s="8" t="inlineStr">
        <is>
          <t>HMD-E1060</t>
        </is>
      </c>
      <c r="B604" s="8" t="inlineStr">
        <is>
          <t>HMD-E1210</t>
        </is>
      </c>
      <c r="C604" s="8" t="inlineStr">
        <is>
          <t>FS</t>
        </is>
      </c>
      <c r="D604" s="8" t="n">
        <v>0</v>
      </c>
    </row>
    <row r="605">
      <c r="A605" s="8" t="inlineStr">
        <is>
          <t>HMD-E1080</t>
        </is>
      </c>
      <c r="B605" s="8" t="inlineStr">
        <is>
          <t>HMD-E1210</t>
        </is>
      </c>
      <c r="C605" s="8" t="inlineStr">
        <is>
          <t>FS</t>
        </is>
      </c>
      <c r="D605" s="8" t="n">
        <v>0</v>
      </c>
    </row>
    <row r="606">
      <c r="A606" s="8" t="inlineStr">
        <is>
          <t>HMD-E1100</t>
        </is>
      </c>
      <c r="B606" s="8" t="inlineStr">
        <is>
          <t>HMD-E1210</t>
        </is>
      </c>
      <c r="C606" s="8" t="inlineStr">
        <is>
          <t>FS</t>
        </is>
      </c>
      <c r="D606" s="8" t="n">
        <v>0</v>
      </c>
    </row>
    <row r="607">
      <c r="A607" s="8" t="inlineStr">
        <is>
          <t>HMD-E1120</t>
        </is>
      </c>
      <c r="B607" s="8" t="inlineStr">
        <is>
          <t>HMD-E1210</t>
        </is>
      </c>
      <c r="C607" s="8" t="inlineStr">
        <is>
          <t>FS</t>
        </is>
      </c>
      <c r="D607" s="8" t="n">
        <v>0</v>
      </c>
    </row>
    <row r="608">
      <c r="A608" s="8" t="inlineStr">
        <is>
          <t>HMD-E1200</t>
        </is>
      </c>
      <c r="B608" s="8" t="inlineStr">
        <is>
          <t>HMD-E1210</t>
        </is>
      </c>
      <c r="C608" s="8" t="inlineStr">
        <is>
          <t>FS</t>
        </is>
      </c>
      <c r="D608" s="8" t="n">
        <v>0</v>
      </c>
    </row>
    <row r="609">
      <c r="A609" s="8" t="inlineStr">
        <is>
          <t>HMD-E1210</t>
        </is>
      </c>
      <c r="B609" s="8" t="inlineStr">
        <is>
          <t>HMD-P1010</t>
        </is>
      </c>
      <c r="C609" s="8" t="inlineStr">
        <is>
          <t>FS</t>
        </is>
      </c>
      <c r="D609" s="8" t="n">
        <v>0</v>
      </c>
    </row>
    <row r="610">
      <c r="A610" s="8" t="inlineStr">
        <is>
          <t>HMD-E1210</t>
        </is>
      </c>
      <c r="B610" s="8" t="inlineStr">
        <is>
          <t>HMD-P1020</t>
        </is>
      </c>
      <c r="C610" s="8" t="inlineStr">
        <is>
          <t>FS</t>
        </is>
      </c>
      <c r="D610" s="8" t="n">
        <v>0</v>
      </c>
    </row>
    <row r="611">
      <c r="A611" s="8" t="inlineStr">
        <is>
          <t>HMD-E1210</t>
        </is>
      </c>
      <c r="B611" s="8" t="inlineStr">
        <is>
          <t>HMD-P1030</t>
        </is>
      </c>
      <c r="C611" s="8" t="inlineStr">
        <is>
          <t>FS</t>
        </is>
      </c>
      <c r="D611" s="8" t="n">
        <v>0</v>
      </c>
    </row>
    <row r="612">
      <c r="A612" s="8" t="inlineStr">
        <is>
          <t>HMD-E1210</t>
        </is>
      </c>
      <c r="B612" s="8" t="inlineStr">
        <is>
          <t>HMD-P1040</t>
        </is>
      </c>
      <c r="C612" s="8" t="inlineStr">
        <is>
          <t>FS</t>
        </is>
      </c>
      <c r="D612" s="8" t="n">
        <v>0</v>
      </c>
    </row>
    <row r="613">
      <c r="A613" s="8" t="inlineStr">
        <is>
          <t>HMD-P1010</t>
        </is>
      </c>
      <c r="B613" s="8" t="inlineStr">
        <is>
          <t>HMD-P1050</t>
        </is>
      </c>
      <c r="C613" s="8" t="inlineStr">
        <is>
          <t>FS</t>
        </is>
      </c>
      <c r="D613" s="8" t="n">
        <v>0</v>
      </c>
    </row>
    <row r="614">
      <c r="A614" s="8" t="inlineStr">
        <is>
          <t>HMD-P1020</t>
        </is>
      </c>
      <c r="B614" s="8" t="inlineStr">
        <is>
          <t>HMD-P1050</t>
        </is>
      </c>
      <c r="C614" s="8" t="inlineStr">
        <is>
          <t>FS</t>
        </is>
      </c>
      <c r="D614" s="8" t="n">
        <v>0</v>
      </c>
    </row>
    <row r="615">
      <c r="A615" s="8" t="inlineStr">
        <is>
          <t>HMD-P1030</t>
        </is>
      </c>
      <c r="B615" s="8" t="inlineStr">
        <is>
          <t>HMD-P1050</t>
        </is>
      </c>
      <c r="C615" s="8" t="inlineStr">
        <is>
          <t>FS</t>
        </is>
      </c>
      <c r="D615" s="8" t="n">
        <v>0</v>
      </c>
    </row>
    <row r="616">
      <c r="A616" s="8" t="inlineStr">
        <is>
          <t>HMD-P1040</t>
        </is>
      </c>
      <c r="B616" s="8" t="inlineStr">
        <is>
          <t>HMD-P1050</t>
        </is>
      </c>
      <c r="C616" s="8" t="inlineStr">
        <is>
          <t>FS</t>
        </is>
      </c>
      <c r="D616" s="8" t="n">
        <v>0</v>
      </c>
    </row>
    <row r="617">
      <c r="A617" s="8" t="inlineStr">
        <is>
          <t>HMD-P1050</t>
        </is>
      </c>
      <c r="B617" s="8" t="inlineStr">
        <is>
          <t>HMD-P1060</t>
        </is>
      </c>
      <c r="C617" s="8" t="inlineStr">
        <is>
          <t>FS</t>
        </is>
      </c>
      <c r="D617" s="8" t="n">
        <v>0</v>
      </c>
    </row>
    <row r="618">
      <c r="A618" s="8" t="inlineStr">
        <is>
          <t>HMD-P1060</t>
        </is>
      </c>
      <c r="B618" s="8" t="inlineStr">
        <is>
          <t>HMD-P1070</t>
        </is>
      </c>
      <c r="C618" s="8" t="inlineStr">
        <is>
          <t>FS</t>
        </is>
      </c>
      <c r="D618" s="8" t="n">
        <v>0</v>
      </c>
    </row>
    <row r="619">
      <c r="A619" s="8" t="inlineStr">
        <is>
          <t>HMD-P1070</t>
        </is>
      </c>
      <c r="B619" s="8" t="inlineStr">
        <is>
          <t>HMD-P1100</t>
        </is>
      </c>
      <c r="C619" s="8" t="inlineStr">
        <is>
          <t>FS</t>
        </is>
      </c>
      <c r="D619" s="8" t="n">
        <v>0</v>
      </c>
    </row>
    <row r="620">
      <c r="A620" s="8" t="inlineStr">
        <is>
          <t>HMD-P1100</t>
        </is>
      </c>
      <c r="B620" s="8" t="inlineStr">
        <is>
          <t>HMD-C2010</t>
        </is>
      </c>
      <c r="C620" s="8" t="inlineStr">
        <is>
          <t>FS</t>
        </is>
      </c>
      <c r="D620" s="8" t="n">
        <v>0</v>
      </c>
    </row>
    <row r="621">
      <c r="A621" s="8" t="inlineStr">
        <is>
          <t>HMD-E1120</t>
        </is>
      </c>
      <c r="B621" s="8" t="inlineStr">
        <is>
          <t>HMD-X1010</t>
        </is>
      </c>
      <c r="C621" s="8" t="inlineStr">
        <is>
          <t>FS</t>
        </is>
      </c>
      <c r="D621" s="8" t="n">
        <v>0</v>
      </c>
    </row>
    <row r="622">
      <c r="A622" s="8" t="inlineStr">
        <is>
          <t>HMD-X1010</t>
        </is>
      </c>
      <c r="B622" s="8" t="inlineStr">
        <is>
          <t>HMD-X1020</t>
        </is>
      </c>
      <c r="C622" s="8" t="inlineStr">
        <is>
          <t>FS</t>
        </is>
      </c>
      <c r="D622" s="8" t="n">
        <v>0</v>
      </c>
    </row>
    <row r="623">
      <c r="A623" s="8" t="inlineStr">
        <is>
          <t>HMD-X1020</t>
        </is>
      </c>
      <c r="B623" s="8" t="inlineStr">
        <is>
          <t>HMD-C1010</t>
        </is>
      </c>
      <c r="C623" s="8" t="inlineStr">
        <is>
          <t>FS</t>
        </is>
      </c>
      <c r="D623" s="8" t="n">
        <v>0</v>
      </c>
    </row>
    <row r="624">
      <c r="A624" s="8" t="inlineStr">
        <is>
          <t>HMD-C2010</t>
        </is>
      </c>
      <c r="B624" s="8" t="inlineStr">
        <is>
          <t>HMD-C2020</t>
        </is>
      </c>
      <c r="C624" s="8" t="inlineStr">
        <is>
          <t>SS</t>
        </is>
      </c>
      <c r="D624" s="8" t="n">
        <v>7</v>
      </c>
    </row>
    <row r="625">
      <c r="A625" s="8" t="inlineStr">
        <is>
          <t>HMD-C1010</t>
        </is>
      </c>
      <c r="B625" s="8" t="inlineStr">
        <is>
          <t>HMD-C2020</t>
        </is>
      </c>
      <c r="C625" s="8" t="inlineStr">
        <is>
          <t>SS</t>
        </is>
      </c>
      <c r="D625" s="8" t="n">
        <v>22</v>
      </c>
    </row>
    <row r="626">
      <c r="A626" s="8" t="inlineStr">
        <is>
          <t>HMD-C1010</t>
        </is>
      </c>
      <c r="B626" s="8" t="inlineStr">
        <is>
          <t>HMD-C1020</t>
        </is>
      </c>
      <c r="C626" s="8" t="inlineStr">
        <is>
          <t>SS</t>
        </is>
      </c>
      <c r="D626" s="8" t="n">
        <v>20</v>
      </c>
    </row>
    <row r="627">
      <c r="A627" s="8" t="inlineStr">
        <is>
          <t>HMD-C2020</t>
        </is>
      </c>
      <c r="B627" s="8" t="inlineStr">
        <is>
          <t>HMD-C2030</t>
        </is>
      </c>
      <c r="C627" s="8" t="inlineStr">
        <is>
          <t>FS</t>
        </is>
      </c>
      <c r="D627" s="8" t="n">
        <v>0</v>
      </c>
    </row>
    <row r="628">
      <c r="A628" s="8" t="inlineStr">
        <is>
          <t>HMD-C1020</t>
        </is>
      </c>
      <c r="B628" s="8" t="inlineStr">
        <is>
          <t>HMD-C2030</t>
        </is>
      </c>
      <c r="C628" s="8" t="inlineStr">
        <is>
          <t>FS</t>
        </is>
      </c>
      <c r="D628" s="8" t="n">
        <v>0</v>
      </c>
    </row>
    <row r="629">
      <c r="A629" s="8" t="inlineStr">
        <is>
          <t>HMD-C2010</t>
        </is>
      </c>
      <c r="B629" s="8" t="inlineStr">
        <is>
          <t>HMD-C2040</t>
        </is>
      </c>
      <c r="C629" s="8" t="inlineStr">
        <is>
          <t>FS</t>
        </is>
      </c>
      <c r="D629" s="8" t="n">
        <v>0</v>
      </c>
    </row>
    <row r="630">
      <c r="A630" s="8" t="inlineStr">
        <is>
          <t>HMD-C2010</t>
        </is>
      </c>
      <c r="B630" s="8" t="inlineStr">
        <is>
          <t>HMD-C2050</t>
        </is>
      </c>
      <c r="C630" s="8" t="inlineStr">
        <is>
          <t>FS</t>
        </is>
      </c>
      <c r="D630" s="8" t="n">
        <v>7</v>
      </c>
    </row>
    <row r="631">
      <c r="A631" s="8" t="inlineStr">
        <is>
          <t>HMD-C2020</t>
        </is>
      </c>
      <c r="B631" s="8" t="inlineStr">
        <is>
          <t>HMD-C2100</t>
        </is>
      </c>
      <c r="C631" s="8" t="inlineStr">
        <is>
          <t>FS</t>
        </is>
      </c>
      <c r="D631" s="8" t="n">
        <v>0</v>
      </c>
    </row>
    <row r="632">
      <c r="A632" s="8" t="inlineStr">
        <is>
          <t>HMD-C2030</t>
        </is>
      </c>
      <c r="B632" s="8" t="inlineStr">
        <is>
          <t>HMD-C2100</t>
        </is>
      </c>
      <c r="C632" s="8" t="inlineStr">
        <is>
          <t>FS</t>
        </is>
      </c>
      <c r="D632" s="8" t="n">
        <v>0</v>
      </c>
    </row>
    <row r="633">
      <c r="A633" s="8" t="inlineStr">
        <is>
          <t>HMD-C2040</t>
        </is>
      </c>
      <c r="B633" s="8" t="inlineStr">
        <is>
          <t>HMD-C2100</t>
        </is>
      </c>
      <c r="C633" s="8" t="inlineStr">
        <is>
          <t>FS</t>
        </is>
      </c>
      <c r="D633" s="8" t="n">
        <v>0</v>
      </c>
    </row>
    <row r="634">
      <c r="A634" s="8" t="inlineStr">
        <is>
          <t>HMD-C2050</t>
        </is>
      </c>
      <c r="B634" s="8" t="inlineStr">
        <is>
          <t>HMD-C2100</t>
        </is>
      </c>
      <c r="C634" s="8" t="inlineStr">
        <is>
          <t>FS</t>
        </is>
      </c>
      <c r="D634" s="8" t="n">
        <v>0</v>
      </c>
    </row>
    <row r="635">
      <c r="A635" s="8" t="inlineStr">
        <is>
          <t>HMD-C1020</t>
        </is>
      </c>
      <c r="B635" s="8" t="inlineStr">
        <is>
          <t>HMD-C2100</t>
        </is>
      </c>
      <c r="C635" s="8" t="inlineStr">
        <is>
          <t>FS</t>
        </is>
      </c>
      <c r="D635" s="8" t="n">
        <v>0</v>
      </c>
    </row>
    <row r="636">
      <c r="A636" s="8" t="inlineStr">
        <is>
          <t>HMD-C2100</t>
        </is>
      </c>
      <c r="B636" s="8" t="inlineStr">
        <is>
          <t>HMD-T1010</t>
        </is>
      </c>
      <c r="C636" s="8" t="inlineStr">
        <is>
          <t>FS</t>
        </is>
      </c>
      <c r="D636" s="8" t="n">
        <v>0</v>
      </c>
    </row>
    <row r="637">
      <c r="A637" s="8" t="inlineStr">
        <is>
          <t>HMD-T1010</t>
        </is>
      </c>
      <c r="B637" s="8" t="inlineStr">
        <is>
          <t>HMD-T1020</t>
        </is>
      </c>
      <c r="C637" s="8" t="inlineStr">
        <is>
          <t>FS</t>
        </is>
      </c>
      <c r="D637" s="8" t="n">
        <v>0</v>
      </c>
    </row>
    <row r="638">
      <c r="A638" s="8" t="inlineStr">
        <is>
          <t>HMD-T1020</t>
        </is>
      </c>
      <c r="B638" s="8" t="inlineStr">
        <is>
          <t>HMD-T1100</t>
        </is>
      </c>
      <c r="C638" s="8" t="inlineStr">
        <is>
          <t>FS</t>
        </is>
      </c>
      <c r="D638" s="8" t="n">
        <v>0</v>
      </c>
    </row>
    <row r="639">
      <c r="A639" s="8" t="inlineStr">
        <is>
          <t>HMD-T1020</t>
        </is>
      </c>
      <c r="B639" s="8" t="inlineStr">
        <is>
          <t>HMD-T2010</t>
        </is>
      </c>
      <c r="C639" s="8" t="inlineStr">
        <is>
          <t>FS</t>
        </is>
      </c>
      <c r="D639" s="8" t="n">
        <v>0</v>
      </c>
    </row>
    <row r="640">
      <c r="A640" s="8" t="inlineStr">
        <is>
          <t>HMD-T1020</t>
        </is>
      </c>
      <c r="B640" s="8" t="inlineStr">
        <is>
          <t>HMD-T2020</t>
        </is>
      </c>
      <c r="C640" s="8" t="inlineStr">
        <is>
          <t>FS</t>
        </is>
      </c>
      <c r="D640" s="8" t="n">
        <v>0</v>
      </c>
    </row>
    <row r="641">
      <c r="A641" s="8" t="inlineStr">
        <is>
          <t>HMD-C2100</t>
        </is>
      </c>
      <c r="B641" s="8" t="inlineStr">
        <is>
          <t>HMD-E1130</t>
        </is>
      </c>
      <c r="C641" s="8" t="inlineStr">
        <is>
          <t>FS</t>
        </is>
      </c>
      <c r="D641" s="8" t="n">
        <v>0</v>
      </c>
    </row>
    <row r="642">
      <c r="A642" s="8" t="inlineStr">
        <is>
          <t>HMD-E1130</t>
        </is>
      </c>
      <c r="B642" s="8" t="inlineStr">
        <is>
          <t>HMD-E1140</t>
        </is>
      </c>
      <c r="C642" s="8" t="inlineStr">
        <is>
          <t>FS</t>
        </is>
      </c>
      <c r="D642" s="8" t="n">
        <v>0</v>
      </c>
    </row>
    <row r="643">
      <c r="A643" s="8" t="inlineStr">
        <is>
          <t>HMD-T1100</t>
        </is>
      </c>
      <c r="B643" s="8" t="inlineStr">
        <is>
          <t>HMD-T3010</t>
        </is>
      </c>
      <c r="C643" s="8" t="inlineStr">
        <is>
          <t>FS</t>
        </is>
      </c>
      <c r="D643" s="8" t="n">
        <v>0</v>
      </c>
    </row>
    <row r="644">
      <c r="A644" s="8" t="inlineStr">
        <is>
          <t>HMD-T2010</t>
        </is>
      </c>
      <c r="B644" s="8" t="inlineStr">
        <is>
          <t>HMD-T3010</t>
        </is>
      </c>
      <c r="C644" s="8" t="inlineStr">
        <is>
          <t>FS</t>
        </is>
      </c>
      <c r="D644" s="8" t="n">
        <v>0</v>
      </c>
    </row>
    <row r="645">
      <c r="A645" s="8" t="inlineStr">
        <is>
          <t>HMD-T2020</t>
        </is>
      </c>
      <c r="B645" s="8" t="inlineStr">
        <is>
          <t>HMD-T3010</t>
        </is>
      </c>
      <c r="C645" s="8" t="inlineStr">
        <is>
          <t>FS</t>
        </is>
      </c>
      <c r="D645" s="8" t="n">
        <v>0</v>
      </c>
    </row>
    <row r="646">
      <c r="A646" s="8" t="inlineStr">
        <is>
          <t>HMD-E1140</t>
        </is>
      </c>
      <c r="B646" s="8" t="inlineStr">
        <is>
          <t>HMD-T3010</t>
        </is>
      </c>
      <c r="C646" s="8" t="inlineStr">
        <is>
          <t>FS</t>
        </is>
      </c>
      <c r="D646" s="8" t="n">
        <v>0</v>
      </c>
    </row>
    <row r="647">
      <c r="A647" s="8" t="inlineStr">
        <is>
          <t>HMD-T3010</t>
        </is>
      </c>
      <c r="B647" s="8" t="inlineStr">
        <is>
          <t>HMD-T3100</t>
        </is>
      </c>
      <c r="C647" s="8" t="inlineStr">
        <is>
          <t>FS</t>
        </is>
      </c>
      <c r="D647" s="8" t="n">
        <v>0</v>
      </c>
    </row>
    <row r="648">
      <c r="A648" s="8" t="inlineStr">
        <is>
          <t>PRJ-A1060</t>
        </is>
      </c>
      <c r="B648" s="8" t="inlineStr">
        <is>
          <t>EAB-E1010</t>
        </is>
      </c>
      <c r="C648" s="8" t="inlineStr">
        <is>
          <t>FS</t>
        </is>
      </c>
      <c r="D648" s="8" t="n">
        <v>0</v>
      </c>
    </row>
    <row r="649">
      <c r="A649" s="8" t="inlineStr">
        <is>
          <t>PRJ-M1150</t>
        </is>
      </c>
      <c r="B649" s="8" t="inlineStr">
        <is>
          <t>EAB-E1010</t>
        </is>
      </c>
      <c r="C649" s="8" t="inlineStr">
        <is>
          <t>FS</t>
        </is>
      </c>
      <c r="D649" s="8" t="n">
        <v>291</v>
      </c>
    </row>
    <row r="650">
      <c r="A650" s="8" t="inlineStr">
        <is>
          <t>EAB-E1010</t>
        </is>
      </c>
      <c r="B650" s="8" t="inlineStr">
        <is>
          <t>EAB-E1020</t>
        </is>
      </c>
      <c r="C650" s="8" t="inlineStr">
        <is>
          <t>FS</t>
        </is>
      </c>
      <c r="D650" s="8" t="n">
        <v>0</v>
      </c>
    </row>
    <row r="651">
      <c r="A651" s="8" t="inlineStr">
        <is>
          <t>EAB-E1010</t>
        </is>
      </c>
      <c r="B651" s="8" t="inlineStr">
        <is>
          <t>EAB-E1030</t>
        </is>
      </c>
      <c r="C651" s="8" t="inlineStr">
        <is>
          <t>FS</t>
        </is>
      </c>
      <c r="D651" s="8" t="n">
        <v>0</v>
      </c>
    </row>
    <row r="652">
      <c r="A652" s="8" t="inlineStr">
        <is>
          <t>EAB-E1030</t>
        </is>
      </c>
      <c r="B652" s="8" t="inlineStr">
        <is>
          <t>EAB-E1040</t>
        </is>
      </c>
      <c r="C652" s="8" t="inlineStr">
        <is>
          <t>FS</t>
        </is>
      </c>
      <c r="D652" s="8" t="n">
        <v>0</v>
      </c>
    </row>
    <row r="653">
      <c r="A653" s="8" t="inlineStr">
        <is>
          <t>EAB-E1030</t>
        </is>
      </c>
      <c r="B653" s="8" t="inlineStr">
        <is>
          <t>EAB-E1050</t>
        </is>
      </c>
      <c r="C653" s="8" t="inlineStr">
        <is>
          <t>FS</t>
        </is>
      </c>
      <c r="D653" s="8" t="n">
        <v>0</v>
      </c>
    </row>
    <row r="654">
      <c r="A654" s="8" t="inlineStr">
        <is>
          <t>EAB-E1050</t>
        </is>
      </c>
      <c r="B654" s="8" t="inlineStr">
        <is>
          <t>EAB-E1060</t>
        </is>
      </c>
      <c r="C654" s="8" t="inlineStr">
        <is>
          <t>FS</t>
        </is>
      </c>
      <c r="D654" s="8" t="n">
        <v>0</v>
      </c>
    </row>
    <row r="655">
      <c r="A655" s="8" t="inlineStr">
        <is>
          <t>EAB-E1050</t>
        </is>
      </c>
      <c r="B655" s="8" t="inlineStr">
        <is>
          <t>EAB-E1070</t>
        </is>
      </c>
      <c r="C655" s="8" t="inlineStr">
        <is>
          <t>FS</t>
        </is>
      </c>
      <c r="D655" s="8" t="n">
        <v>0</v>
      </c>
    </row>
    <row r="656">
      <c r="A656" s="8" t="inlineStr">
        <is>
          <t>EAB-E1070</t>
        </is>
      </c>
      <c r="B656" s="8" t="inlineStr">
        <is>
          <t>EAB-E1080</t>
        </is>
      </c>
      <c r="C656" s="8" t="inlineStr">
        <is>
          <t>FS</t>
        </is>
      </c>
      <c r="D656" s="8" t="n">
        <v>0</v>
      </c>
    </row>
    <row r="657">
      <c r="A657" s="8" t="inlineStr">
        <is>
          <t>EAB-E1070</t>
        </is>
      </c>
      <c r="B657" s="8" t="inlineStr">
        <is>
          <t>EAB-E1090</t>
        </is>
      </c>
      <c r="C657" s="8" t="inlineStr">
        <is>
          <t>FS</t>
        </is>
      </c>
      <c r="D657" s="8" t="n">
        <v>0</v>
      </c>
    </row>
    <row r="658">
      <c r="A658" s="8" t="inlineStr">
        <is>
          <t>EAB-E1090</t>
        </is>
      </c>
      <c r="B658" s="8" t="inlineStr">
        <is>
          <t>EAB-E1100</t>
        </is>
      </c>
      <c r="C658" s="8" t="inlineStr">
        <is>
          <t>FS</t>
        </is>
      </c>
      <c r="D658" s="8" t="n">
        <v>0</v>
      </c>
    </row>
    <row r="659">
      <c r="A659" s="8" t="inlineStr">
        <is>
          <t>EAB-E1050</t>
        </is>
      </c>
      <c r="B659" s="8" t="inlineStr">
        <is>
          <t>EAB-E1110</t>
        </is>
      </c>
      <c r="C659" s="8" t="inlineStr">
        <is>
          <t>FS</t>
        </is>
      </c>
      <c r="D659" s="8" t="n">
        <v>9</v>
      </c>
    </row>
    <row r="660">
      <c r="A660" s="8" t="inlineStr">
        <is>
          <t>EAB-E1090</t>
        </is>
      </c>
      <c r="B660" s="8" t="inlineStr">
        <is>
          <t>EAB-E1110</t>
        </is>
      </c>
      <c r="C660" s="8" t="inlineStr">
        <is>
          <t>FF</t>
        </is>
      </c>
      <c r="D660" s="8" t="n">
        <v>0</v>
      </c>
    </row>
    <row r="661">
      <c r="A661" s="8" t="inlineStr">
        <is>
          <t>EAB-E1110</t>
        </is>
      </c>
      <c r="B661" s="8" t="inlineStr">
        <is>
          <t>EAB-E1120</t>
        </is>
      </c>
      <c r="C661" s="8" t="inlineStr">
        <is>
          <t>FS</t>
        </is>
      </c>
      <c r="D661" s="8" t="n">
        <v>0</v>
      </c>
    </row>
    <row r="662">
      <c r="A662" s="8" t="inlineStr">
        <is>
          <t>EAB-E1090</t>
        </is>
      </c>
      <c r="B662" s="8" t="inlineStr">
        <is>
          <t>EAB-E1200</t>
        </is>
      </c>
      <c r="C662" s="8" t="inlineStr">
        <is>
          <t>FS</t>
        </is>
      </c>
      <c r="D662" s="8" t="n">
        <v>0</v>
      </c>
    </row>
    <row r="663">
      <c r="A663" s="8" t="inlineStr">
        <is>
          <t>EAB-E1110</t>
        </is>
      </c>
      <c r="B663" s="8" t="inlineStr">
        <is>
          <t>EAB-E1200</t>
        </is>
      </c>
      <c r="C663" s="8" t="inlineStr">
        <is>
          <t>FS</t>
        </is>
      </c>
      <c r="D663" s="8" t="n">
        <v>0</v>
      </c>
    </row>
    <row r="664">
      <c r="A664" s="8" t="inlineStr">
        <is>
          <t>EAB-E1020</t>
        </is>
      </c>
      <c r="B664" s="8" t="inlineStr">
        <is>
          <t>EAB-E1210</t>
        </is>
      </c>
      <c r="C664" s="8" t="inlineStr">
        <is>
          <t>FS</t>
        </is>
      </c>
      <c r="D664" s="8" t="n">
        <v>0</v>
      </c>
    </row>
    <row r="665">
      <c r="A665" s="8" t="inlineStr">
        <is>
          <t>EAB-E1040</t>
        </is>
      </c>
      <c r="B665" s="8" t="inlineStr">
        <is>
          <t>EAB-E1210</t>
        </is>
      </c>
      <c r="C665" s="8" t="inlineStr">
        <is>
          <t>FS</t>
        </is>
      </c>
      <c r="D665" s="8" t="n">
        <v>0</v>
      </c>
    </row>
    <row r="666">
      <c r="A666" s="8" t="inlineStr">
        <is>
          <t>EAB-E1060</t>
        </is>
      </c>
      <c r="B666" s="8" t="inlineStr">
        <is>
          <t>EAB-E1210</t>
        </is>
      </c>
      <c r="C666" s="8" t="inlineStr">
        <is>
          <t>FS</t>
        </is>
      </c>
      <c r="D666" s="8" t="n">
        <v>0</v>
      </c>
    </row>
    <row r="667">
      <c r="A667" s="8" t="inlineStr">
        <is>
          <t>EAB-E1080</t>
        </is>
      </c>
      <c r="B667" s="8" t="inlineStr">
        <is>
          <t>EAB-E1210</t>
        </is>
      </c>
      <c r="C667" s="8" t="inlineStr">
        <is>
          <t>FS</t>
        </is>
      </c>
      <c r="D667" s="8" t="n">
        <v>0</v>
      </c>
    </row>
    <row r="668">
      <c r="A668" s="8" t="inlineStr">
        <is>
          <t>EAB-E1100</t>
        </is>
      </c>
      <c r="B668" s="8" t="inlineStr">
        <is>
          <t>EAB-E1210</t>
        </is>
      </c>
      <c r="C668" s="8" t="inlineStr">
        <is>
          <t>FS</t>
        </is>
      </c>
      <c r="D668" s="8" t="n">
        <v>0</v>
      </c>
    </row>
    <row r="669">
      <c r="A669" s="8" t="inlineStr">
        <is>
          <t>EAB-E1120</t>
        </is>
      </c>
      <c r="B669" s="8" t="inlineStr">
        <is>
          <t>EAB-E1210</t>
        </is>
      </c>
      <c r="C669" s="8" t="inlineStr">
        <is>
          <t>FS</t>
        </is>
      </c>
      <c r="D669" s="8" t="n">
        <v>0</v>
      </c>
    </row>
    <row r="670">
      <c r="A670" s="8" t="inlineStr">
        <is>
          <t>EAB-E1200</t>
        </is>
      </c>
      <c r="B670" s="8" t="inlineStr">
        <is>
          <t>EAB-E1210</t>
        </is>
      </c>
      <c r="C670" s="8" t="inlineStr">
        <is>
          <t>FS</t>
        </is>
      </c>
      <c r="D670" s="8" t="n">
        <v>0</v>
      </c>
    </row>
    <row r="671">
      <c r="A671" s="8" t="inlineStr">
        <is>
          <t>EAB-E1210</t>
        </is>
      </c>
      <c r="B671" s="8" t="inlineStr">
        <is>
          <t>EAB-P1010</t>
        </is>
      </c>
      <c r="C671" s="8" t="inlineStr">
        <is>
          <t>FS</t>
        </is>
      </c>
      <c r="D671" s="8" t="n">
        <v>0</v>
      </c>
    </row>
    <row r="672">
      <c r="A672" s="8" t="inlineStr">
        <is>
          <t>EAB-E1210</t>
        </is>
      </c>
      <c r="B672" s="8" t="inlineStr">
        <is>
          <t>EAB-P1020</t>
        </is>
      </c>
      <c r="C672" s="8" t="inlineStr">
        <is>
          <t>FS</t>
        </is>
      </c>
      <c r="D672" s="8" t="n">
        <v>0</v>
      </c>
    </row>
    <row r="673">
      <c r="A673" s="8" t="inlineStr">
        <is>
          <t>EAB-E1210</t>
        </is>
      </c>
      <c r="B673" s="8" t="inlineStr">
        <is>
          <t>EAB-P1030</t>
        </is>
      </c>
      <c r="C673" s="8" t="inlineStr">
        <is>
          <t>FS</t>
        </is>
      </c>
      <c r="D673" s="8" t="n">
        <v>0</v>
      </c>
    </row>
    <row r="674">
      <c r="A674" s="8" t="inlineStr">
        <is>
          <t>EAB-E1210</t>
        </is>
      </c>
      <c r="B674" s="8" t="inlineStr">
        <is>
          <t>EAB-P1040</t>
        </is>
      </c>
      <c r="C674" s="8" t="inlineStr">
        <is>
          <t>FS</t>
        </is>
      </c>
      <c r="D674" s="8" t="n">
        <v>0</v>
      </c>
    </row>
    <row r="675">
      <c r="A675" s="8" t="inlineStr">
        <is>
          <t>EAB-P1010</t>
        </is>
      </c>
      <c r="B675" s="8" t="inlineStr">
        <is>
          <t>EAB-P1050</t>
        </is>
      </c>
      <c r="C675" s="8" t="inlineStr">
        <is>
          <t>FS</t>
        </is>
      </c>
      <c r="D675" s="8" t="n">
        <v>0</v>
      </c>
    </row>
    <row r="676">
      <c r="A676" s="8" t="inlineStr">
        <is>
          <t>EAB-P1020</t>
        </is>
      </c>
      <c r="B676" s="8" t="inlineStr">
        <is>
          <t>EAB-P1050</t>
        </is>
      </c>
      <c r="C676" s="8" t="inlineStr">
        <is>
          <t>FS</t>
        </is>
      </c>
      <c r="D676" s="8" t="n">
        <v>0</v>
      </c>
    </row>
    <row r="677">
      <c r="A677" s="8" t="inlineStr">
        <is>
          <t>EAB-P1030</t>
        </is>
      </c>
      <c r="B677" s="8" t="inlineStr">
        <is>
          <t>EAB-P1050</t>
        </is>
      </c>
      <c r="C677" s="8" t="inlineStr">
        <is>
          <t>FS</t>
        </is>
      </c>
      <c r="D677" s="8" t="n">
        <v>0</v>
      </c>
    </row>
    <row r="678">
      <c r="A678" s="8" t="inlineStr">
        <is>
          <t>EAB-P1040</t>
        </is>
      </c>
      <c r="B678" s="8" t="inlineStr">
        <is>
          <t>EAB-P1050</t>
        </is>
      </c>
      <c r="C678" s="8" t="inlineStr">
        <is>
          <t>FS</t>
        </is>
      </c>
      <c r="D678" s="8" t="n">
        <v>0</v>
      </c>
    </row>
    <row r="679">
      <c r="A679" s="8" t="inlineStr">
        <is>
          <t>EAB-P1050</t>
        </is>
      </c>
      <c r="B679" s="8" t="inlineStr">
        <is>
          <t>EAB-P1060</t>
        </is>
      </c>
      <c r="C679" s="8" t="inlineStr">
        <is>
          <t>FS</t>
        </is>
      </c>
      <c r="D679" s="8" t="n">
        <v>0</v>
      </c>
    </row>
    <row r="680">
      <c r="A680" s="8" t="inlineStr">
        <is>
          <t>EAB-P1060</t>
        </is>
      </c>
      <c r="B680" s="8" t="inlineStr">
        <is>
          <t>EAB-P1070</t>
        </is>
      </c>
      <c r="C680" s="8" t="inlineStr">
        <is>
          <t>FS</t>
        </is>
      </c>
      <c r="D680" s="8" t="n">
        <v>0</v>
      </c>
    </row>
    <row r="681">
      <c r="A681" s="8" t="inlineStr">
        <is>
          <t>EAB-P1070</t>
        </is>
      </c>
      <c r="B681" s="8" t="inlineStr">
        <is>
          <t>EAB-P1100</t>
        </is>
      </c>
      <c r="C681" s="8" t="inlineStr">
        <is>
          <t>FS</t>
        </is>
      </c>
      <c r="D681" s="8" t="n">
        <v>0</v>
      </c>
    </row>
    <row r="682">
      <c r="A682" s="8" t="inlineStr">
        <is>
          <t>EAB-P1100</t>
        </is>
      </c>
      <c r="B682" s="8" t="inlineStr">
        <is>
          <t>EAB-C2010</t>
        </is>
      </c>
      <c r="C682" s="8" t="inlineStr">
        <is>
          <t>FS</t>
        </is>
      </c>
      <c r="D682" s="8" t="n">
        <v>0</v>
      </c>
    </row>
    <row r="683">
      <c r="A683" s="8" t="inlineStr">
        <is>
          <t>EAB-E1120</t>
        </is>
      </c>
      <c r="B683" s="8" t="inlineStr">
        <is>
          <t>EAB-X1010</t>
        </is>
      </c>
      <c r="C683" s="8" t="inlineStr">
        <is>
          <t>FS</t>
        </is>
      </c>
      <c r="D683" s="8" t="n">
        <v>0</v>
      </c>
    </row>
    <row r="684">
      <c r="A684" s="8" t="inlineStr">
        <is>
          <t>EAB-X1010</t>
        </is>
      </c>
      <c r="B684" s="8" t="inlineStr">
        <is>
          <t>EAB-X1020</t>
        </is>
      </c>
      <c r="C684" s="8" t="inlineStr">
        <is>
          <t>FS</t>
        </is>
      </c>
      <c r="D684" s="8" t="n">
        <v>0</v>
      </c>
    </row>
    <row r="685">
      <c r="A685" s="8" t="inlineStr">
        <is>
          <t>EAB-X1020</t>
        </is>
      </c>
      <c r="B685" s="8" t="inlineStr">
        <is>
          <t>EAB-C1010</t>
        </is>
      </c>
      <c r="C685" s="8" t="inlineStr">
        <is>
          <t>FS</t>
        </is>
      </c>
      <c r="D685" s="8" t="n">
        <v>0</v>
      </c>
    </row>
    <row r="686">
      <c r="A686" s="8" t="inlineStr">
        <is>
          <t>EAB-C2010</t>
        </is>
      </c>
      <c r="B686" s="8" t="inlineStr">
        <is>
          <t>EAB-C2020</t>
        </is>
      </c>
      <c r="C686" s="8" t="inlineStr">
        <is>
          <t>SS</t>
        </is>
      </c>
      <c r="D686" s="8" t="n">
        <v>3</v>
      </c>
    </row>
    <row r="687">
      <c r="A687" s="8" t="inlineStr">
        <is>
          <t>EAB-C1010</t>
        </is>
      </c>
      <c r="B687" s="8" t="inlineStr">
        <is>
          <t>EAB-C2020</t>
        </is>
      </c>
      <c r="C687" s="8" t="inlineStr">
        <is>
          <t>SS</t>
        </is>
      </c>
      <c r="D687" s="8" t="n">
        <v>26</v>
      </c>
    </row>
    <row r="688">
      <c r="A688" s="8" t="inlineStr">
        <is>
          <t>EAB-C1010</t>
        </is>
      </c>
      <c r="B688" s="8" t="inlineStr">
        <is>
          <t>EAB-C1020</t>
        </is>
      </c>
      <c r="C688" s="8" t="inlineStr">
        <is>
          <t>SS</t>
        </is>
      </c>
      <c r="D688" s="8" t="n">
        <v>23</v>
      </c>
    </row>
    <row r="689">
      <c r="A689" s="8" t="inlineStr">
        <is>
          <t>EAB-C2020</t>
        </is>
      </c>
      <c r="B689" s="8" t="inlineStr">
        <is>
          <t>EAB-C2030</t>
        </is>
      </c>
      <c r="C689" s="8" t="inlineStr">
        <is>
          <t>FS</t>
        </is>
      </c>
      <c r="D689" s="8" t="n">
        <v>0</v>
      </c>
    </row>
    <row r="690">
      <c r="A690" s="8" t="inlineStr">
        <is>
          <t>EAB-C1020</t>
        </is>
      </c>
      <c r="B690" s="8" t="inlineStr">
        <is>
          <t>EAB-C2030</t>
        </is>
      </c>
      <c r="C690" s="8" t="inlineStr">
        <is>
          <t>FS</t>
        </is>
      </c>
      <c r="D690" s="8" t="n">
        <v>0</v>
      </c>
    </row>
    <row r="691">
      <c r="A691" s="8" t="inlineStr">
        <is>
          <t>EAB-C2010</t>
        </is>
      </c>
      <c r="B691" s="8" t="inlineStr">
        <is>
          <t>EAB-C2040</t>
        </is>
      </c>
      <c r="C691" s="8" t="inlineStr">
        <is>
          <t>FS</t>
        </is>
      </c>
      <c r="D691" s="8" t="n">
        <v>0</v>
      </c>
    </row>
    <row r="692">
      <c r="A692" s="8" t="inlineStr">
        <is>
          <t>EAB-C2010</t>
        </is>
      </c>
      <c r="B692" s="8" t="inlineStr">
        <is>
          <t>EAB-C2050</t>
        </is>
      </c>
      <c r="C692" s="8" t="inlineStr">
        <is>
          <t>FS</t>
        </is>
      </c>
      <c r="D692" s="8" t="n">
        <v>3</v>
      </c>
    </row>
    <row r="693">
      <c r="A693" s="8" t="inlineStr">
        <is>
          <t>EAB-C2020</t>
        </is>
      </c>
      <c r="B693" s="8" t="inlineStr">
        <is>
          <t>EAB-C2100</t>
        </is>
      </c>
      <c r="C693" s="8" t="inlineStr">
        <is>
          <t>FS</t>
        </is>
      </c>
      <c r="D693" s="8" t="n">
        <v>0</v>
      </c>
    </row>
    <row r="694">
      <c r="A694" s="8" t="inlineStr">
        <is>
          <t>EAB-C2030</t>
        </is>
      </c>
      <c r="B694" s="8" t="inlineStr">
        <is>
          <t>EAB-C2100</t>
        </is>
      </c>
      <c r="C694" s="8" t="inlineStr">
        <is>
          <t>FS</t>
        </is>
      </c>
      <c r="D694" s="8" t="n">
        <v>0</v>
      </c>
    </row>
    <row r="695">
      <c r="A695" s="8" t="inlineStr">
        <is>
          <t>EAB-C2040</t>
        </is>
      </c>
      <c r="B695" s="8" t="inlineStr">
        <is>
          <t>EAB-C2100</t>
        </is>
      </c>
      <c r="C695" s="8" t="inlineStr">
        <is>
          <t>FS</t>
        </is>
      </c>
      <c r="D695" s="8" t="n">
        <v>0</v>
      </c>
    </row>
    <row r="696">
      <c r="A696" s="8" t="inlineStr">
        <is>
          <t>EAB-C2050</t>
        </is>
      </c>
      <c r="B696" s="8" t="inlineStr">
        <is>
          <t>EAB-C2100</t>
        </is>
      </c>
      <c r="C696" s="8" t="inlineStr">
        <is>
          <t>FS</t>
        </is>
      </c>
      <c r="D696" s="8" t="n">
        <v>0</v>
      </c>
    </row>
    <row r="697">
      <c r="A697" s="8" t="inlineStr">
        <is>
          <t>EAB-C1020</t>
        </is>
      </c>
      <c r="B697" s="8" t="inlineStr">
        <is>
          <t>EAB-C2100</t>
        </is>
      </c>
      <c r="C697" s="8" t="inlineStr">
        <is>
          <t>FS</t>
        </is>
      </c>
      <c r="D697" s="8" t="n">
        <v>0</v>
      </c>
    </row>
    <row r="698">
      <c r="A698" s="8" t="inlineStr">
        <is>
          <t>EAB-C2100</t>
        </is>
      </c>
      <c r="B698" s="8" t="inlineStr">
        <is>
          <t>EAB-T1010</t>
        </is>
      </c>
      <c r="C698" s="8" t="inlineStr">
        <is>
          <t>FS</t>
        </is>
      </c>
      <c r="D698" s="8" t="n">
        <v>0</v>
      </c>
    </row>
    <row r="699">
      <c r="A699" s="8" t="inlineStr">
        <is>
          <t>EAB-T1010</t>
        </is>
      </c>
      <c r="B699" s="8" t="inlineStr">
        <is>
          <t>EAB-T1020</t>
        </is>
      </c>
      <c r="C699" s="8" t="inlineStr">
        <is>
          <t>FS</t>
        </is>
      </c>
      <c r="D699" s="8" t="n">
        <v>0</v>
      </c>
    </row>
    <row r="700">
      <c r="A700" s="8" t="inlineStr">
        <is>
          <t>EAB-T1020</t>
        </is>
      </c>
      <c r="B700" s="8" t="inlineStr">
        <is>
          <t>EAB-T1100</t>
        </is>
      </c>
      <c r="C700" s="8" t="inlineStr">
        <is>
          <t>FS</t>
        </is>
      </c>
      <c r="D700" s="8" t="n">
        <v>0</v>
      </c>
    </row>
    <row r="701">
      <c r="A701" s="8" t="inlineStr">
        <is>
          <t>EAB-T1020</t>
        </is>
      </c>
      <c r="B701" s="8" t="inlineStr">
        <is>
          <t>EAB-T2010</t>
        </is>
      </c>
      <c r="C701" s="8" t="inlineStr">
        <is>
          <t>FS</t>
        </is>
      </c>
      <c r="D701" s="8" t="n">
        <v>0</v>
      </c>
    </row>
    <row r="702">
      <c r="A702" s="8" t="inlineStr">
        <is>
          <t>EAB-T1020</t>
        </is>
      </c>
      <c r="B702" s="8" t="inlineStr">
        <is>
          <t>EAB-T2020</t>
        </is>
      </c>
      <c r="C702" s="8" t="inlineStr">
        <is>
          <t>FS</t>
        </is>
      </c>
      <c r="D702" s="8" t="n">
        <v>0</v>
      </c>
    </row>
    <row r="703">
      <c r="A703" s="8" t="inlineStr">
        <is>
          <t>EAB-C2100</t>
        </is>
      </c>
      <c r="B703" s="8" t="inlineStr">
        <is>
          <t>EAB-E1130</t>
        </is>
      </c>
      <c r="C703" s="8" t="inlineStr">
        <is>
          <t>FS</t>
        </is>
      </c>
      <c r="D703" s="8" t="n">
        <v>0</v>
      </c>
    </row>
    <row r="704">
      <c r="A704" s="8" t="inlineStr">
        <is>
          <t>EAB-E1130</t>
        </is>
      </c>
      <c r="B704" s="8" t="inlineStr">
        <is>
          <t>EAB-E1140</t>
        </is>
      </c>
      <c r="C704" s="8" t="inlineStr">
        <is>
          <t>FS</t>
        </is>
      </c>
      <c r="D704" s="8" t="n">
        <v>0</v>
      </c>
    </row>
    <row r="705">
      <c r="A705" s="8" t="inlineStr">
        <is>
          <t>EAB-T1100</t>
        </is>
      </c>
      <c r="B705" s="8" t="inlineStr">
        <is>
          <t>EAB-T3010</t>
        </is>
      </c>
      <c r="C705" s="8" t="inlineStr">
        <is>
          <t>FS</t>
        </is>
      </c>
      <c r="D705" s="8" t="n">
        <v>0</v>
      </c>
    </row>
    <row r="706">
      <c r="A706" s="8" t="inlineStr">
        <is>
          <t>EAB-T2010</t>
        </is>
      </c>
      <c r="B706" s="8" t="inlineStr">
        <is>
          <t>EAB-T3010</t>
        </is>
      </c>
      <c r="C706" s="8" t="inlineStr">
        <is>
          <t>FS</t>
        </is>
      </c>
      <c r="D706" s="8" t="n">
        <v>0</v>
      </c>
    </row>
    <row r="707">
      <c r="A707" s="8" t="inlineStr">
        <is>
          <t>EAB-T2020</t>
        </is>
      </c>
      <c r="B707" s="8" t="inlineStr">
        <is>
          <t>EAB-T3010</t>
        </is>
      </c>
      <c r="C707" s="8" t="inlineStr">
        <is>
          <t>FS</t>
        </is>
      </c>
      <c r="D707" s="8" t="n">
        <v>0</v>
      </c>
    </row>
    <row r="708">
      <c r="A708" s="8" t="inlineStr">
        <is>
          <t>EAB-E1140</t>
        </is>
      </c>
      <c r="B708" s="8" t="inlineStr">
        <is>
          <t>EAB-T3010</t>
        </is>
      </c>
      <c r="C708" s="8" t="inlineStr">
        <is>
          <t>FS</t>
        </is>
      </c>
      <c r="D708" s="8" t="n">
        <v>0</v>
      </c>
    </row>
    <row r="709">
      <c r="A709" s="8" t="inlineStr">
        <is>
          <t>EAB-T3010</t>
        </is>
      </c>
      <c r="B709" s="8" t="inlineStr">
        <is>
          <t>EAB-T3100</t>
        </is>
      </c>
      <c r="C709" s="8" t="inlineStr">
        <is>
          <t>FS</t>
        </is>
      </c>
      <c r="D709" s="8" t="n">
        <v>0</v>
      </c>
    </row>
    <row r="710">
      <c r="A710" s="8" t="inlineStr">
        <is>
          <t>PRJ-A1060</t>
        </is>
      </c>
      <c r="B710" s="8" t="inlineStr">
        <is>
          <t>NHL-E1010</t>
        </is>
      </c>
      <c r="C710" s="8" t="inlineStr">
        <is>
          <t>FS</t>
        </is>
      </c>
      <c r="D710" s="8" t="n">
        <v>0</v>
      </c>
    </row>
    <row r="711">
      <c r="A711" s="8" t="inlineStr">
        <is>
          <t>PRJ-M1150</t>
        </is>
      </c>
      <c r="B711" s="8" t="inlineStr">
        <is>
          <t>NHL-E1010</t>
        </is>
      </c>
      <c r="C711" s="8" t="inlineStr">
        <is>
          <t>FS</t>
        </is>
      </c>
      <c r="D711" s="8" t="n">
        <v>308</v>
      </c>
    </row>
    <row r="712">
      <c r="A712" s="8" t="inlineStr">
        <is>
          <t>NHL-E1010</t>
        </is>
      </c>
      <c r="B712" s="8" t="inlineStr">
        <is>
          <t>NHL-E1020</t>
        </is>
      </c>
      <c r="C712" s="8" t="inlineStr">
        <is>
          <t>FS</t>
        </is>
      </c>
      <c r="D712" s="8" t="n">
        <v>0</v>
      </c>
    </row>
    <row r="713">
      <c r="A713" s="8" t="inlineStr">
        <is>
          <t>NHL-E1010</t>
        </is>
      </c>
      <c r="B713" s="8" t="inlineStr">
        <is>
          <t>NHL-E1030</t>
        </is>
      </c>
      <c r="C713" s="8" t="inlineStr">
        <is>
          <t>FS</t>
        </is>
      </c>
      <c r="D713" s="8" t="n">
        <v>0</v>
      </c>
    </row>
    <row r="714">
      <c r="A714" s="8" t="inlineStr">
        <is>
          <t>NHL-E1030</t>
        </is>
      </c>
      <c r="B714" s="8" t="inlineStr">
        <is>
          <t>NHL-E1040</t>
        </is>
      </c>
      <c r="C714" s="8" t="inlineStr">
        <is>
          <t>FS</t>
        </is>
      </c>
      <c r="D714" s="8" t="n">
        <v>0</v>
      </c>
    </row>
    <row r="715">
      <c r="A715" s="8" t="inlineStr">
        <is>
          <t>NHL-E1030</t>
        </is>
      </c>
      <c r="B715" s="8" t="inlineStr">
        <is>
          <t>NHL-E1050</t>
        </is>
      </c>
      <c r="C715" s="8" t="inlineStr">
        <is>
          <t>FS</t>
        </is>
      </c>
      <c r="D715" s="8" t="n">
        <v>0</v>
      </c>
    </row>
    <row r="716">
      <c r="A716" s="8" t="inlineStr">
        <is>
          <t>NHL-E1050</t>
        </is>
      </c>
      <c r="B716" s="8" t="inlineStr">
        <is>
          <t>NHL-E1060</t>
        </is>
      </c>
      <c r="C716" s="8" t="inlineStr">
        <is>
          <t>FS</t>
        </is>
      </c>
      <c r="D716" s="8" t="n">
        <v>0</v>
      </c>
    </row>
    <row r="717">
      <c r="A717" s="8" t="inlineStr">
        <is>
          <t>NHL-E1050</t>
        </is>
      </c>
      <c r="B717" s="8" t="inlineStr">
        <is>
          <t>NHL-E1070</t>
        </is>
      </c>
      <c r="C717" s="8" t="inlineStr">
        <is>
          <t>FS</t>
        </is>
      </c>
      <c r="D717" s="8" t="n">
        <v>0</v>
      </c>
    </row>
    <row r="718">
      <c r="A718" s="8" t="inlineStr">
        <is>
          <t>NHL-E1070</t>
        </is>
      </c>
      <c r="B718" s="8" t="inlineStr">
        <is>
          <t>NHL-E1080</t>
        </is>
      </c>
      <c r="C718" s="8" t="inlineStr">
        <is>
          <t>FS</t>
        </is>
      </c>
      <c r="D718" s="8" t="n">
        <v>0</v>
      </c>
    </row>
    <row r="719">
      <c r="A719" s="8" t="inlineStr">
        <is>
          <t>NHL-E1070</t>
        </is>
      </c>
      <c r="B719" s="8" t="inlineStr">
        <is>
          <t>NHL-E1090</t>
        </is>
      </c>
      <c r="C719" s="8" t="inlineStr">
        <is>
          <t>FS</t>
        </is>
      </c>
      <c r="D719" s="8" t="n">
        <v>0</v>
      </c>
    </row>
    <row r="720">
      <c r="A720" s="8" t="inlineStr">
        <is>
          <t>NHL-E1090</t>
        </is>
      </c>
      <c r="B720" s="8" t="inlineStr">
        <is>
          <t>NHL-E1100</t>
        </is>
      </c>
      <c r="C720" s="8" t="inlineStr">
        <is>
          <t>FS</t>
        </is>
      </c>
      <c r="D720" s="8" t="n">
        <v>0</v>
      </c>
    </row>
    <row r="721">
      <c r="A721" s="8" t="inlineStr">
        <is>
          <t>NHL-E1050</t>
        </is>
      </c>
      <c r="B721" s="8" t="inlineStr">
        <is>
          <t>NHL-E1110</t>
        </is>
      </c>
      <c r="C721" s="8" t="inlineStr">
        <is>
          <t>FS</t>
        </is>
      </c>
      <c r="D721" s="8" t="n">
        <v>9</v>
      </c>
    </row>
    <row r="722">
      <c r="A722" s="8" t="inlineStr">
        <is>
          <t>NHL-E1090</t>
        </is>
      </c>
      <c r="B722" s="8" t="inlineStr">
        <is>
          <t>NHL-E1110</t>
        </is>
      </c>
      <c r="C722" s="8" t="inlineStr">
        <is>
          <t>FF</t>
        </is>
      </c>
      <c r="D722" s="8" t="n">
        <v>0</v>
      </c>
    </row>
    <row r="723">
      <c r="A723" s="8" t="inlineStr">
        <is>
          <t>NHL-E1110</t>
        </is>
      </c>
      <c r="B723" s="8" t="inlineStr">
        <is>
          <t>NHL-E1120</t>
        </is>
      </c>
      <c r="C723" s="8" t="inlineStr">
        <is>
          <t>FS</t>
        </is>
      </c>
      <c r="D723" s="8" t="n">
        <v>0</v>
      </c>
    </row>
    <row r="724">
      <c r="A724" s="8" t="inlineStr">
        <is>
          <t>NHL-E1090</t>
        </is>
      </c>
      <c r="B724" s="8" t="inlineStr">
        <is>
          <t>NHL-E1200</t>
        </is>
      </c>
      <c r="C724" s="8" t="inlineStr">
        <is>
          <t>FS</t>
        </is>
      </c>
      <c r="D724" s="8" t="n">
        <v>0</v>
      </c>
    </row>
    <row r="725">
      <c r="A725" s="8" t="inlineStr">
        <is>
          <t>NHL-E1110</t>
        </is>
      </c>
      <c r="B725" s="8" t="inlineStr">
        <is>
          <t>NHL-E1200</t>
        </is>
      </c>
      <c r="C725" s="8" t="inlineStr">
        <is>
          <t>FS</t>
        </is>
      </c>
      <c r="D725" s="8" t="n">
        <v>0</v>
      </c>
    </row>
    <row r="726">
      <c r="A726" s="8" t="inlineStr">
        <is>
          <t>NHL-E1020</t>
        </is>
      </c>
      <c r="B726" s="8" t="inlineStr">
        <is>
          <t>NHL-E1210</t>
        </is>
      </c>
      <c r="C726" s="8" t="inlineStr">
        <is>
          <t>FS</t>
        </is>
      </c>
      <c r="D726" s="8" t="n">
        <v>0</v>
      </c>
    </row>
    <row r="727">
      <c r="A727" s="8" t="inlineStr">
        <is>
          <t>NHL-E1040</t>
        </is>
      </c>
      <c r="B727" s="8" t="inlineStr">
        <is>
          <t>NHL-E1210</t>
        </is>
      </c>
      <c r="C727" s="8" t="inlineStr">
        <is>
          <t>FS</t>
        </is>
      </c>
      <c r="D727" s="8" t="n">
        <v>0</v>
      </c>
    </row>
    <row r="728">
      <c r="A728" s="8" t="inlineStr">
        <is>
          <t>NHL-E1060</t>
        </is>
      </c>
      <c r="B728" s="8" t="inlineStr">
        <is>
          <t>NHL-E1210</t>
        </is>
      </c>
      <c r="C728" s="8" t="inlineStr">
        <is>
          <t>FS</t>
        </is>
      </c>
      <c r="D728" s="8" t="n">
        <v>0</v>
      </c>
    </row>
    <row r="729">
      <c r="A729" s="8" t="inlineStr">
        <is>
          <t>NHL-E1080</t>
        </is>
      </c>
      <c r="B729" s="8" t="inlineStr">
        <is>
          <t>NHL-E1210</t>
        </is>
      </c>
      <c r="C729" s="8" t="inlineStr">
        <is>
          <t>FS</t>
        </is>
      </c>
      <c r="D729" s="8" t="n">
        <v>0</v>
      </c>
    </row>
    <row r="730">
      <c r="A730" s="8" t="inlineStr">
        <is>
          <t>NHL-E1100</t>
        </is>
      </c>
      <c r="B730" s="8" t="inlineStr">
        <is>
          <t>NHL-E1210</t>
        </is>
      </c>
      <c r="C730" s="8" t="inlineStr">
        <is>
          <t>FS</t>
        </is>
      </c>
      <c r="D730" s="8" t="n">
        <v>0</v>
      </c>
    </row>
    <row r="731">
      <c r="A731" s="8" t="inlineStr">
        <is>
          <t>NHL-E1120</t>
        </is>
      </c>
      <c r="B731" s="8" t="inlineStr">
        <is>
          <t>NHL-E1210</t>
        </is>
      </c>
      <c r="C731" s="8" t="inlineStr">
        <is>
          <t>FS</t>
        </is>
      </c>
      <c r="D731" s="8" t="n">
        <v>0</v>
      </c>
    </row>
    <row r="732">
      <c r="A732" s="8" t="inlineStr">
        <is>
          <t>NHL-E1200</t>
        </is>
      </c>
      <c r="B732" s="8" t="inlineStr">
        <is>
          <t>NHL-E1210</t>
        </is>
      </c>
      <c r="C732" s="8" t="inlineStr">
        <is>
          <t>FS</t>
        </is>
      </c>
      <c r="D732" s="8" t="n">
        <v>0</v>
      </c>
    </row>
    <row r="733">
      <c r="A733" s="8" t="inlineStr">
        <is>
          <t>NHL-E1210</t>
        </is>
      </c>
      <c r="B733" s="8" t="inlineStr">
        <is>
          <t>NHL-P1010</t>
        </is>
      </c>
      <c r="C733" s="8" t="inlineStr">
        <is>
          <t>FS</t>
        </is>
      </c>
      <c r="D733" s="8" t="n">
        <v>0</v>
      </c>
    </row>
    <row r="734">
      <c r="A734" s="8" t="inlineStr">
        <is>
          <t>NHL-E1210</t>
        </is>
      </c>
      <c r="B734" s="8" t="inlineStr">
        <is>
          <t>NHL-P1020</t>
        </is>
      </c>
      <c r="C734" s="8" t="inlineStr">
        <is>
          <t>FS</t>
        </is>
      </c>
      <c r="D734" s="8" t="n">
        <v>0</v>
      </c>
    </row>
    <row r="735">
      <c r="A735" s="8" t="inlineStr">
        <is>
          <t>NHL-E1210</t>
        </is>
      </c>
      <c r="B735" s="8" t="inlineStr">
        <is>
          <t>NHL-P1030</t>
        </is>
      </c>
      <c r="C735" s="8" t="inlineStr">
        <is>
          <t>FS</t>
        </is>
      </c>
      <c r="D735" s="8" t="n">
        <v>0</v>
      </c>
    </row>
    <row r="736">
      <c r="A736" s="8" t="inlineStr">
        <is>
          <t>NHL-E1210</t>
        </is>
      </c>
      <c r="B736" s="8" t="inlineStr">
        <is>
          <t>NHL-P1040</t>
        </is>
      </c>
      <c r="C736" s="8" t="inlineStr">
        <is>
          <t>FS</t>
        </is>
      </c>
      <c r="D736" s="8" t="n">
        <v>0</v>
      </c>
    </row>
    <row r="737">
      <c r="A737" s="8" t="inlineStr">
        <is>
          <t>NHL-P1010</t>
        </is>
      </c>
      <c r="B737" s="8" t="inlineStr">
        <is>
          <t>NHL-P1050</t>
        </is>
      </c>
      <c r="C737" s="8" t="inlineStr">
        <is>
          <t>FS</t>
        </is>
      </c>
      <c r="D737" s="8" t="n">
        <v>0</v>
      </c>
    </row>
    <row r="738">
      <c r="A738" s="8" t="inlineStr">
        <is>
          <t>NHL-P1020</t>
        </is>
      </c>
      <c r="B738" s="8" t="inlineStr">
        <is>
          <t>NHL-P1050</t>
        </is>
      </c>
      <c r="C738" s="8" t="inlineStr">
        <is>
          <t>FS</t>
        </is>
      </c>
      <c r="D738" s="8" t="n">
        <v>0</v>
      </c>
    </row>
    <row r="739">
      <c r="A739" s="8" t="inlineStr">
        <is>
          <t>NHL-P1030</t>
        </is>
      </c>
      <c r="B739" s="8" t="inlineStr">
        <is>
          <t>NHL-P1050</t>
        </is>
      </c>
      <c r="C739" s="8" t="inlineStr">
        <is>
          <t>FS</t>
        </is>
      </c>
      <c r="D739" s="8" t="n">
        <v>0</v>
      </c>
    </row>
    <row r="740">
      <c r="A740" s="8" t="inlineStr">
        <is>
          <t>NHL-P1040</t>
        </is>
      </c>
      <c r="B740" s="8" t="inlineStr">
        <is>
          <t>NHL-P1050</t>
        </is>
      </c>
      <c r="C740" s="8" t="inlineStr">
        <is>
          <t>FS</t>
        </is>
      </c>
      <c r="D740" s="8" t="n">
        <v>0</v>
      </c>
    </row>
    <row r="741">
      <c r="A741" s="8" t="inlineStr">
        <is>
          <t>NHL-P1050</t>
        </is>
      </c>
      <c r="B741" s="8" t="inlineStr">
        <is>
          <t>NHL-P1060</t>
        </is>
      </c>
      <c r="C741" s="8" t="inlineStr">
        <is>
          <t>FS</t>
        </is>
      </c>
      <c r="D741" s="8" t="n">
        <v>0</v>
      </c>
    </row>
    <row r="742">
      <c r="A742" s="8" t="inlineStr">
        <is>
          <t>NHL-P1060</t>
        </is>
      </c>
      <c r="B742" s="8" t="inlineStr">
        <is>
          <t>NHL-P1070</t>
        </is>
      </c>
      <c r="C742" s="8" t="inlineStr">
        <is>
          <t>FS</t>
        </is>
      </c>
      <c r="D742" s="8" t="n">
        <v>0</v>
      </c>
    </row>
    <row r="743">
      <c r="A743" s="8" t="inlineStr">
        <is>
          <t>NHL-P1070</t>
        </is>
      </c>
      <c r="B743" s="8" t="inlineStr">
        <is>
          <t>NHL-P1100</t>
        </is>
      </c>
      <c r="C743" s="8" t="inlineStr">
        <is>
          <t>FS</t>
        </is>
      </c>
      <c r="D743" s="8" t="n">
        <v>0</v>
      </c>
    </row>
    <row r="744">
      <c r="A744" s="8" t="inlineStr">
        <is>
          <t>NHL-P1100</t>
        </is>
      </c>
      <c r="B744" s="8" t="inlineStr">
        <is>
          <t>NHL-C2010</t>
        </is>
      </c>
      <c r="C744" s="8" t="inlineStr">
        <is>
          <t>FS</t>
        </is>
      </c>
      <c r="D744" s="8" t="n">
        <v>0</v>
      </c>
    </row>
    <row r="745">
      <c r="A745" s="8" t="inlineStr">
        <is>
          <t>NHL-E1120</t>
        </is>
      </c>
      <c r="B745" s="8" t="inlineStr">
        <is>
          <t>NHL-X1010</t>
        </is>
      </c>
      <c r="C745" s="8" t="inlineStr">
        <is>
          <t>FS</t>
        </is>
      </c>
      <c r="D745" s="8" t="n">
        <v>0</v>
      </c>
    </row>
    <row r="746">
      <c r="A746" s="8" t="inlineStr">
        <is>
          <t>NHL-X1010</t>
        </is>
      </c>
      <c r="B746" s="8" t="inlineStr">
        <is>
          <t>NHL-X1020</t>
        </is>
      </c>
      <c r="C746" s="8" t="inlineStr">
        <is>
          <t>FS</t>
        </is>
      </c>
      <c r="D746" s="8" t="n">
        <v>0</v>
      </c>
    </row>
    <row r="747">
      <c r="A747" s="8" t="inlineStr">
        <is>
          <t>NHL-X1020</t>
        </is>
      </c>
      <c r="B747" s="8" t="inlineStr">
        <is>
          <t>NHL-C1010</t>
        </is>
      </c>
      <c r="C747" s="8" t="inlineStr">
        <is>
          <t>FS</t>
        </is>
      </c>
      <c r="D747" s="8" t="n">
        <v>0</v>
      </c>
    </row>
    <row r="748">
      <c r="A748" s="8" t="inlineStr">
        <is>
          <t>NHL-C2010</t>
        </is>
      </c>
      <c r="B748" s="8" t="inlineStr">
        <is>
          <t>NHL-C2020</t>
        </is>
      </c>
      <c r="C748" s="8" t="inlineStr">
        <is>
          <t>SS</t>
        </is>
      </c>
      <c r="D748" s="8" t="n">
        <v>4</v>
      </c>
    </row>
    <row r="749">
      <c r="A749" s="8" t="inlineStr">
        <is>
          <t>NHL-C1010</t>
        </is>
      </c>
      <c r="B749" s="8" t="inlineStr">
        <is>
          <t>NHL-C2020</t>
        </is>
      </c>
      <c r="C749" s="8" t="inlineStr">
        <is>
          <t>SS</t>
        </is>
      </c>
      <c r="D749" s="8" t="n">
        <v>41</v>
      </c>
    </row>
    <row r="750">
      <c r="A750" s="8" t="inlineStr">
        <is>
          <t>NHL-C1010</t>
        </is>
      </c>
      <c r="B750" s="8" t="inlineStr">
        <is>
          <t>NHL-C1020</t>
        </is>
      </c>
      <c r="C750" s="8" t="inlineStr">
        <is>
          <t>SS</t>
        </is>
      </c>
      <c r="D750" s="8" t="n">
        <v>37</v>
      </c>
    </row>
    <row r="751">
      <c r="A751" s="8" t="inlineStr">
        <is>
          <t>NHL-C2020</t>
        </is>
      </c>
      <c r="B751" s="8" t="inlineStr">
        <is>
          <t>NHL-C2030</t>
        </is>
      </c>
      <c r="C751" s="8" t="inlineStr">
        <is>
          <t>FS</t>
        </is>
      </c>
      <c r="D751" s="8" t="n">
        <v>0</v>
      </c>
    </row>
    <row r="752">
      <c r="A752" s="8" t="inlineStr">
        <is>
          <t>NHL-C1020</t>
        </is>
      </c>
      <c r="B752" s="8" t="inlineStr">
        <is>
          <t>NHL-C2030</t>
        </is>
      </c>
      <c r="C752" s="8" t="inlineStr">
        <is>
          <t>FS</t>
        </is>
      </c>
      <c r="D752" s="8" t="n">
        <v>0</v>
      </c>
    </row>
    <row r="753">
      <c r="A753" s="8" t="inlineStr">
        <is>
          <t>NHL-C2010</t>
        </is>
      </c>
      <c r="B753" s="8" t="inlineStr">
        <is>
          <t>NHL-C2040</t>
        </is>
      </c>
      <c r="C753" s="8" t="inlineStr">
        <is>
          <t>FS</t>
        </is>
      </c>
      <c r="D753" s="8" t="n">
        <v>0</v>
      </c>
    </row>
    <row r="754">
      <c r="A754" s="8" t="inlineStr">
        <is>
          <t>NHL-C2010</t>
        </is>
      </c>
      <c r="B754" s="8" t="inlineStr">
        <is>
          <t>NHL-C2050</t>
        </is>
      </c>
      <c r="C754" s="8" t="inlineStr">
        <is>
          <t>FS</t>
        </is>
      </c>
      <c r="D754" s="8" t="n">
        <v>4</v>
      </c>
    </row>
    <row r="755">
      <c r="A755" s="8" t="inlineStr">
        <is>
          <t>NHL-C2020</t>
        </is>
      </c>
      <c r="B755" s="8" t="inlineStr">
        <is>
          <t>NHL-C2100</t>
        </is>
      </c>
      <c r="C755" s="8" t="inlineStr">
        <is>
          <t>FS</t>
        </is>
      </c>
      <c r="D755" s="8" t="n">
        <v>0</v>
      </c>
    </row>
    <row r="756">
      <c r="A756" s="8" t="inlineStr">
        <is>
          <t>NHL-C2030</t>
        </is>
      </c>
      <c r="B756" s="8" t="inlineStr">
        <is>
          <t>NHL-C2100</t>
        </is>
      </c>
      <c r="C756" s="8" t="inlineStr">
        <is>
          <t>FS</t>
        </is>
      </c>
      <c r="D756" s="8" t="n">
        <v>0</v>
      </c>
    </row>
    <row r="757">
      <c r="A757" s="8" t="inlineStr">
        <is>
          <t>NHL-C2040</t>
        </is>
      </c>
      <c r="B757" s="8" t="inlineStr">
        <is>
          <t>NHL-C2100</t>
        </is>
      </c>
      <c r="C757" s="8" t="inlineStr">
        <is>
          <t>FS</t>
        </is>
      </c>
      <c r="D757" s="8" t="n">
        <v>0</v>
      </c>
    </row>
    <row r="758">
      <c r="A758" s="8" t="inlineStr">
        <is>
          <t>NHL-C2050</t>
        </is>
      </c>
      <c r="B758" s="8" t="inlineStr">
        <is>
          <t>NHL-C2100</t>
        </is>
      </c>
      <c r="C758" s="8" t="inlineStr">
        <is>
          <t>FS</t>
        </is>
      </c>
      <c r="D758" s="8" t="n">
        <v>0</v>
      </c>
    </row>
    <row r="759">
      <c r="A759" s="8" t="inlineStr">
        <is>
          <t>NHL-C1020</t>
        </is>
      </c>
      <c r="B759" s="8" t="inlineStr">
        <is>
          <t>NHL-C2100</t>
        </is>
      </c>
      <c r="C759" s="8" t="inlineStr">
        <is>
          <t>FS</t>
        </is>
      </c>
      <c r="D759" s="8" t="n">
        <v>0</v>
      </c>
    </row>
    <row r="760">
      <c r="A760" s="8" t="inlineStr">
        <is>
          <t>NHL-C2100</t>
        </is>
      </c>
      <c r="B760" s="8" t="inlineStr">
        <is>
          <t>NHL-T1010</t>
        </is>
      </c>
      <c r="C760" s="8" t="inlineStr">
        <is>
          <t>FS</t>
        </is>
      </c>
      <c r="D760" s="8" t="n">
        <v>0</v>
      </c>
    </row>
    <row r="761">
      <c r="A761" s="8" t="inlineStr">
        <is>
          <t>NHL-T1010</t>
        </is>
      </c>
      <c r="B761" s="8" t="inlineStr">
        <is>
          <t>NHL-T1020</t>
        </is>
      </c>
      <c r="C761" s="8" t="inlineStr">
        <is>
          <t>FS</t>
        </is>
      </c>
      <c r="D761" s="8" t="n">
        <v>0</v>
      </c>
    </row>
    <row r="762">
      <c r="A762" s="8" t="inlineStr">
        <is>
          <t>NHL-T1020</t>
        </is>
      </c>
      <c r="B762" s="8" t="inlineStr">
        <is>
          <t>NHL-T1100</t>
        </is>
      </c>
      <c r="C762" s="8" t="inlineStr">
        <is>
          <t>FS</t>
        </is>
      </c>
      <c r="D762" s="8" t="n">
        <v>0</v>
      </c>
    </row>
    <row r="763">
      <c r="A763" s="8" t="inlineStr">
        <is>
          <t>NHL-T1020</t>
        </is>
      </c>
      <c r="B763" s="8" t="inlineStr">
        <is>
          <t>NHL-T2010</t>
        </is>
      </c>
      <c r="C763" s="8" t="inlineStr">
        <is>
          <t>FS</t>
        </is>
      </c>
      <c r="D763" s="8" t="n">
        <v>0</v>
      </c>
    </row>
    <row r="764">
      <c r="A764" s="8" t="inlineStr">
        <is>
          <t>NHL-T1020</t>
        </is>
      </c>
      <c r="B764" s="8" t="inlineStr">
        <is>
          <t>NHL-T2020</t>
        </is>
      </c>
      <c r="C764" s="8" t="inlineStr">
        <is>
          <t>FS</t>
        </is>
      </c>
      <c r="D764" s="8" t="n">
        <v>0</v>
      </c>
    </row>
    <row r="765">
      <c r="A765" s="8" t="inlineStr">
        <is>
          <t>NHL-C2100</t>
        </is>
      </c>
      <c r="B765" s="8" t="inlineStr">
        <is>
          <t>NHL-E1130</t>
        </is>
      </c>
      <c r="C765" s="8" t="inlineStr">
        <is>
          <t>FS</t>
        </is>
      </c>
      <c r="D765" s="8" t="n">
        <v>0</v>
      </c>
    </row>
    <row r="766">
      <c r="A766" s="8" t="inlineStr">
        <is>
          <t>NHL-E1130</t>
        </is>
      </c>
      <c r="B766" s="8" t="inlineStr">
        <is>
          <t>NHL-E1140</t>
        </is>
      </c>
      <c r="C766" s="8" t="inlineStr">
        <is>
          <t>FS</t>
        </is>
      </c>
      <c r="D766" s="8" t="n">
        <v>0</v>
      </c>
    </row>
    <row r="767">
      <c r="A767" s="8" t="inlineStr">
        <is>
          <t>NHL-T1100</t>
        </is>
      </c>
      <c r="B767" s="8" t="inlineStr">
        <is>
          <t>NHL-T3010</t>
        </is>
      </c>
      <c r="C767" s="8" t="inlineStr">
        <is>
          <t>FS</t>
        </is>
      </c>
      <c r="D767" s="8" t="n">
        <v>0</v>
      </c>
    </row>
    <row r="768">
      <c r="A768" s="8" t="inlineStr">
        <is>
          <t>NHL-T2010</t>
        </is>
      </c>
      <c r="B768" s="8" t="inlineStr">
        <is>
          <t>NHL-T3010</t>
        </is>
      </c>
      <c r="C768" s="8" t="inlineStr">
        <is>
          <t>FS</t>
        </is>
      </c>
      <c r="D768" s="8" t="n">
        <v>0</v>
      </c>
    </row>
    <row r="769">
      <c r="A769" s="8" t="inlineStr">
        <is>
          <t>NHL-T2020</t>
        </is>
      </c>
      <c r="B769" s="8" t="inlineStr">
        <is>
          <t>NHL-T3010</t>
        </is>
      </c>
      <c r="C769" s="8" t="inlineStr">
        <is>
          <t>FS</t>
        </is>
      </c>
      <c r="D769" s="8" t="n">
        <v>0</v>
      </c>
    </row>
    <row r="770">
      <c r="A770" s="8" t="inlineStr">
        <is>
          <t>NHL-E1140</t>
        </is>
      </c>
      <c r="B770" s="8" t="inlineStr">
        <is>
          <t>NHL-T3010</t>
        </is>
      </c>
      <c r="C770" s="8" t="inlineStr">
        <is>
          <t>FS</t>
        </is>
      </c>
      <c r="D770" s="8" t="n">
        <v>0</v>
      </c>
    </row>
    <row r="771">
      <c r="A771" s="8" t="inlineStr">
        <is>
          <t>NHL-T3010</t>
        </is>
      </c>
      <c r="B771" s="8" t="inlineStr">
        <is>
          <t>NHL-T3100</t>
        </is>
      </c>
      <c r="C771" s="8" t="inlineStr">
        <is>
          <t>FS</t>
        </is>
      </c>
      <c r="D771" s="8" t="n">
        <v>0</v>
      </c>
    </row>
    <row r="772">
      <c r="A772" s="8" t="inlineStr">
        <is>
          <t>PRJ-A1060</t>
        </is>
      </c>
      <c r="B772" s="8" t="inlineStr">
        <is>
          <t>NJF-E1010</t>
        </is>
      </c>
      <c r="C772" s="8" t="inlineStr">
        <is>
          <t>FS</t>
        </is>
      </c>
      <c r="D772" s="8" t="n">
        <v>0</v>
      </c>
    </row>
    <row r="773">
      <c r="A773" s="8" t="inlineStr">
        <is>
          <t>PRJ-M1150</t>
        </is>
      </c>
      <c r="B773" s="8" t="inlineStr">
        <is>
          <t>NJF-E1010</t>
        </is>
      </c>
      <c r="C773" s="8" t="inlineStr">
        <is>
          <t>FS</t>
        </is>
      </c>
      <c r="D773" s="8" t="n">
        <v>358</v>
      </c>
    </row>
    <row r="774">
      <c r="A774" s="8" t="inlineStr">
        <is>
          <t>NJF-E1010</t>
        </is>
      </c>
      <c r="B774" s="8" t="inlineStr">
        <is>
          <t>NJF-E1020</t>
        </is>
      </c>
      <c r="C774" s="8" t="inlineStr">
        <is>
          <t>FS</t>
        </is>
      </c>
      <c r="D774" s="8" t="n">
        <v>0</v>
      </c>
    </row>
    <row r="775">
      <c r="A775" s="8" t="inlineStr">
        <is>
          <t>NJF-E1010</t>
        </is>
      </c>
      <c r="B775" s="8" t="inlineStr">
        <is>
          <t>NJF-E1030</t>
        </is>
      </c>
      <c r="C775" s="8" t="inlineStr">
        <is>
          <t>FS</t>
        </is>
      </c>
      <c r="D775" s="8" t="n">
        <v>0</v>
      </c>
    </row>
    <row r="776">
      <c r="A776" s="8" t="inlineStr">
        <is>
          <t>NJF-E1030</t>
        </is>
      </c>
      <c r="B776" s="8" t="inlineStr">
        <is>
          <t>NJF-E1040</t>
        </is>
      </c>
      <c r="C776" s="8" t="inlineStr">
        <is>
          <t>FS</t>
        </is>
      </c>
      <c r="D776" s="8" t="n">
        <v>0</v>
      </c>
    </row>
    <row r="777">
      <c r="A777" s="8" t="inlineStr">
        <is>
          <t>NJF-E1030</t>
        </is>
      </c>
      <c r="B777" s="8" t="inlineStr">
        <is>
          <t>NJF-E1050</t>
        </is>
      </c>
      <c r="C777" s="8" t="inlineStr">
        <is>
          <t>FS</t>
        </is>
      </c>
      <c r="D777" s="8" t="n">
        <v>0</v>
      </c>
    </row>
    <row r="778">
      <c r="A778" s="8" t="inlineStr">
        <is>
          <t>NJF-E1050</t>
        </is>
      </c>
      <c r="B778" s="8" t="inlineStr">
        <is>
          <t>NJF-E1060</t>
        </is>
      </c>
      <c r="C778" s="8" t="inlineStr">
        <is>
          <t>FS</t>
        </is>
      </c>
      <c r="D778" s="8" t="n">
        <v>0</v>
      </c>
    </row>
    <row r="779">
      <c r="A779" s="8" t="inlineStr">
        <is>
          <t>NJF-E1050</t>
        </is>
      </c>
      <c r="B779" s="8" t="inlineStr">
        <is>
          <t>NJF-E1070</t>
        </is>
      </c>
      <c r="C779" s="8" t="inlineStr">
        <is>
          <t>FS</t>
        </is>
      </c>
      <c r="D779" s="8" t="n">
        <v>0</v>
      </c>
    </row>
    <row r="780">
      <c r="A780" s="8" t="inlineStr">
        <is>
          <t>NJF-E1070</t>
        </is>
      </c>
      <c r="B780" s="8" t="inlineStr">
        <is>
          <t>NJF-E1080</t>
        </is>
      </c>
      <c r="C780" s="8" t="inlineStr">
        <is>
          <t>FS</t>
        </is>
      </c>
      <c r="D780" s="8" t="n">
        <v>0</v>
      </c>
    </row>
    <row r="781">
      <c r="A781" s="8" t="inlineStr">
        <is>
          <t>NJF-E1070</t>
        </is>
      </c>
      <c r="B781" s="8" t="inlineStr">
        <is>
          <t>NJF-E1090</t>
        </is>
      </c>
      <c r="C781" s="8" t="inlineStr">
        <is>
          <t>FS</t>
        </is>
      </c>
      <c r="D781" s="8" t="n">
        <v>0</v>
      </c>
    </row>
    <row r="782">
      <c r="A782" s="8" t="inlineStr">
        <is>
          <t>NJF-E1090</t>
        </is>
      </c>
      <c r="B782" s="8" t="inlineStr">
        <is>
          <t>NJF-E1100</t>
        </is>
      </c>
      <c r="C782" s="8" t="inlineStr">
        <is>
          <t>FS</t>
        </is>
      </c>
      <c r="D782" s="8" t="n">
        <v>0</v>
      </c>
    </row>
    <row r="783">
      <c r="A783" s="8" t="inlineStr">
        <is>
          <t>NJF-E1050</t>
        </is>
      </c>
      <c r="B783" s="8" t="inlineStr">
        <is>
          <t>NJF-E1110</t>
        </is>
      </c>
      <c r="C783" s="8" t="inlineStr">
        <is>
          <t>FS</t>
        </is>
      </c>
      <c r="D783" s="8" t="n">
        <v>10</v>
      </c>
    </row>
    <row r="784">
      <c r="A784" s="8" t="inlineStr">
        <is>
          <t>NJF-E1090</t>
        </is>
      </c>
      <c r="B784" s="8" t="inlineStr">
        <is>
          <t>NJF-E1110</t>
        </is>
      </c>
      <c r="C784" s="8" t="inlineStr">
        <is>
          <t>FF</t>
        </is>
      </c>
      <c r="D784" s="8" t="n">
        <v>0</v>
      </c>
    </row>
    <row r="785">
      <c r="A785" s="8" t="inlineStr">
        <is>
          <t>NJF-E1110</t>
        </is>
      </c>
      <c r="B785" s="8" t="inlineStr">
        <is>
          <t>NJF-E1120</t>
        </is>
      </c>
      <c r="C785" s="8" t="inlineStr">
        <is>
          <t>FS</t>
        </is>
      </c>
      <c r="D785" s="8" t="n">
        <v>0</v>
      </c>
    </row>
    <row r="786">
      <c r="A786" s="8" t="inlineStr">
        <is>
          <t>NJF-E1090</t>
        </is>
      </c>
      <c r="B786" s="8" t="inlineStr">
        <is>
          <t>NJF-E1200</t>
        </is>
      </c>
      <c r="C786" s="8" t="inlineStr">
        <is>
          <t>FS</t>
        </is>
      </c>
      <c r="D786" s="8" t="n">
        <v>0</v>
      </c>
    </row>
    <row r="787">
      <c r="A787" s="8" t="inlineStr">
        <is>
          <t>NJF-E1110</t>
        </is>
      </c>
      <c r="B787" s="8" t="inlineStr">
        <is>
          <t>NJF-E1200</t>
        </is>
      </c>
      <c r="C787" s="8" t="inlineStr">
        <is>
          <t>FS</t>
        </is>
      </c>
      <c r="D787" s="8" t="n">
        <v>0</v>
      </c>
    </row>
    <row r="788">
      <c r="A788" s="8" t="inlineStr">
        <is>
          <t>NJF-E1020</t>
        </is>
      </c>
      <c r="B788" s="8" t="inlineStr">
        <is>
          <t>NJF-E1210</t>
        </is>
      </c>
      <c r="C788" s="8" t="inlineStr">
        <is>
          <t>FS</t>
        </is>
      </c>
      <c r="D788" s="8" t="n">
        <v>0</v>
      </c>
    </row>
    <row r="789">
      <c r="A789" s="8" t="inlineStr">
        <is>
          <t>NJF-E1040</t>
        </is>
      </c>
      <c r="B789" s="8" t="inlineStr">
        <is>
          <t>NJF-E1210</t>
        </is>
      </c>
      <c r="C789" s="8" t="inlineStr">
        <is>
          <t>FS</t>
        </is>
      </c>
      <c r="D789" s="8" t="n">
        <v>0</v>
      </c>
    </row>
    <row r="790">
      <c r="A790" s="8" t="inlineStr">
        <is>
          <t>NJF-E1060</t>
        </is>
      </c>
      <c r="B790" s="8" t="inlineStr">
        <is>
          <t>NJF-E1210</t>
        </is>
      </c>
      <c r="C790" s="8" t="inlineStr">
        <is>
          <t>FS</t>
        </is>
      </c>
      <c r="D790" s="8" t="n">
        <v>0</v>
      </c>
    </row>
    <row r="791">
      <c r="A791" s="8" t="inlineStr">
        <is>
          <t>NJF-E1080</t>
        </is>
      </c>
      <c r="B791" s="8" t="inlineStr">
        <is>
          <t>NJF-E1210</t>
        </is>
      </c>
      <c r="C791" s="8" t="inlineStr">
        <is>
          <t>FS</t>
        </is>
      </c>
      <c r="D791" s="8" t="n">
        <v>0</v>
      </c>
    </row>
    <row r="792">
      <c r="A792" s="8" t="inlineStr">
        <is>
          <t>NJF-E1100</t>
        </is>
      </c>
      <c r="B792" s="8" t="inlineStr">
        <is>
          <t>NJF-E1210</t>
        </is>
      </c>
      <c r="C792" s="8" t="inlineStr">
        <is>
          <t>FS</t>
        </is>
      </c>
      <c r="D792" s="8" t="n">
        <v>0</v>
      </c>
    </row>
    <row r="793">
      <c r="A793" s="8" t="inlineStr">
        <is>
          <t>NJF-E1120</t>
        </is>
      </c>
      <c r="B793" s="8" t="inlineStr">
        <is>
          <t>NJF-E1210</t>
        </is>
      </c>
      <c r="C793" s="8" t="inlineStr">
        <is>
          <t>FS</t>
        </is>
      </c>
      <c r="D793" s="8" t="n">
        <v>0</v>
      </c>
    </row>
    <row r="794">
      <c r="A794" s="8" t="inlineStr">
        <is>
          <t>NJF-E1200</t>
        </is>
      </c>
      <c r="B794" s="8" t="inlineStr">
        <is>
          <t>NJF-E1210</t>
        </is>
      </c>
      <c r="C794" s="8" t="inlineStr">
        <is>
          <t>FS</t>
        </is>
      </c>
      <c r="D794" s="8" t="n">
        <v>0</v>
      </c>
    </row>
    <row r="795">
      <c r="A795" s="8" t="inlineStr">
        <is>
          <t>NJF-E1210</t>
        </is>
      </c>
      <c r="B795" s="8" t="inlineStr">
        <is>
          <t>NJF-P1010</t>
        </is>
      </c>
      <c r="C795" s="8" t="inlineStr">
        <is>
          <t>FS</t>
        </is>
      </c>
      <c r="D795" s="8" t="n">
        <v>0</v>
      </c>
    </row>
    <row r="796">
      <c r="A796" s="8" t="inlineStr">
        <is>
          <t>NJF-E1210</t>
        </is>
      </c>
      <c r="B796" s="8" t="inlineStr">
        <is>
          <t>NJF-P1020</t>
        </is>
      </c>
      <c r="C796" s="8" t="inlineStr">
        <is>
          <t>FS</t>
        </is>
      </c>
      <c r="D796" s="8" t="n">
        <v>0</v>
      </c>
    </row>
    <row r="797">
      <c r="A797" s="8" t="inlineStr">
        <is>
          <t>NJF-E1210</t>
        </is>
      </c>
      <c r="B797" s="8" t="inlineStr">
        <is>
          <t>NJF-P1030</t>
        </is>
      </c>
      <c r="C797" s="8" t="inlineStr">
        <is>
          <t>FS</t>
        </is>
      </c>
      <c r="D797" s="8" t="n">
        <v>0</v>
      </c>
    </row>
    <row r="798">
      <c r="A798" s="8" t="inlineStr">
        <is>
          <t>NJF-E1210</t>
        </is>
      </c>
      <c r="B798" s="8" t="inlineStr">
        <is>
          <t>NJF-P1040</t>
        </is>
      </c>
      <c r="C798" s="8" t="inlineStr">
        <is>
          <t>FS</t>
        </is>
      </c>
      <c r="D798" s="8" t="n">
        <v>0</v>
      </c>
    </row>
    <row r="799">
      <c r="A799" s="8" t="inlineStr">
        <is>
          <t>NJF-P1010</t>
        </is>
      </c>
      <c r="B799" s="8" t="inlineStr">
        <is>
          <t>NJF-P1050</t>
        </is>
      </c>
      <c r="C799" s="8" t="inlineStr">
        <is>
          <t>FS</t>
        </is>
      </c>
      <c r="D799" s="8" t="n">
        <v>0</v>
      </c>
    </row>
    <row r="800">
      <c r="A800" s="8" t="inlineStr">
        <is>
          <t>NJF-P1020</t>
        </is>
      </c>
      <c r="B800" s="8" t="inlineStr">
        <is>
          <t>NJF-P1050</t>
        </is>
      </c>
      <c r="C800" s="8" t="inlineStr">
        <is>
          <t>FS</t>
        </is>
      </c>
      <c r="D800" s="8" t="n">
        <v>0</v>
      </c>
    </row>
    <row r="801">
      <c r="A801" s="8" t="inlineStr">
        <is>
          <t>NJF-P1030</t>
        </is>
      </c>
      <c r="B801" s="8" t="inlineStr">
        <is>
          <t>NJF-P1050</t>
        </is>
      </c>
      <c r="C801" s="8" t="inlineStr">
        <is>
          <t>FS</t>
        </is>
      </c>
      <c r="D801" s="8" t="n">
        <v>0</v>
      </c>
    </row>
    <row r="802">
      <c r="A802" s="8" t="inlineStr">
        <is>
          <t>NJF-P1040</t>
        </is>
      </c>
      <c r="B802" s="8" t="inlineStr">
        <is>
          <t>NJF-P1050</t>
        </is>
      </c>
      <c r="C802" s="8" t="inlineStr">
        <is>
          <t>FS</t>
        </is>
      </c>
      <c r="D802" s="8" t="n">
        <v>0</v>
      </c>
    </row>
    <row r="803">
      <c r="A803" s="8" t="inlineStr">
        <is>
          <t>NJF-P1050</t>
        </is>
      </c>
      <c r="B803" s="8" t="inlineStr">
        <is>
          <t>NJF-P1060</t>
        </is>
      </c>
      <c r="C803" s="8" t="inlineStr">
        <is>
          <t>FS</t>
        </is>
      </c>
      <c r="D803" s="8" t="n">
        <v>0</v>
      </c>
    </row>
    <row r="804">
      <c r="A804" s="8" t="inlineStr">
        <is>
          <t>NJF-P1060</t>
        </is>
      </c>
      <c r="B804" s="8" t="inlineStr">
        <is>
          <t>NJF-P1070</t>
        </is>
      </c>
      <c r="C804" s="8" t="inlineStr">
        <is>
          <t>FS</t>
        </is>
      </c>
      <c r="D804" s="8" t="n">
        <v>0</v>
      </c>
    </row>
    <row r="805">
      <c r="A805" s="8" t="inlineStr">
        <is>
          <t>NJF-P1070</t>
        </is>
      </c>
      <c r="B805" s="8" t="inlineStr">
        <is>
          <t>NJF-P1100</t>
        </is>
      </c>
      <c r="C805" s="8" t="inlineStr">
        <is>
          <t>FS</t>
        </is>
      </c>
      <c r="D805" s="8" t="n">
        <v>0</v>
      </c>
    </row>
    <row r="806">
      <c r="A806" s="8" t="inlineStr">
        <is>
          <t>NJF-P1100</t>
        </is>
      </c>
      <c r="B806" s="8" t="inlineStr">
        <is>
          <t>NJF-C2010</t>
        </is>
      </c>
      <c r="C806" s="8" t="inlineStr">
        <is>
          <t>FS</t>
        </is>
      </c>
      <c r="D806" s="8" t="n">
        <v>0</v>
      </c>
    </row>
    <row r="807">
      <c r="A807" s="8" t="inlineStr">
        <is>
          <t>NJF-E1120</t>
        </is>
      </c>
      <c r="B807" s="8" t="inlineStr">
        <is>
          <t>NJF-X1010</t>
        </is>
      </c>
      <c r="C807" s="8" t="inlineStr">
        <is>
          <t>FS</t>
        </is>
      </c>
      <c r="D807" s="8" t="n">
        <v>0</v>
      </c>
    </row>
    <row r="808">
      <c r="A808" s="8" t="inlineStr">
        <is>
          <t>NJF-X1010</t>
        </is>
      </c>
      <c r="B808" s="8" t="inlineStr">
        <is>
          <t>NJF-X1020</t>
        </is>
      </c>
      <c r="C808" s="8" t="inlineStr">
        <is>
          <t>FS</t>
        </is>
      </c>
      <c r="D808" s="8" t="n">
        <v>0</v>
      </c>
    </row>
    <row r="809">
      <c r="A809" s="8" t="inlineStr">
        <is>
          <t>NJF-X1020</t>
        </is>
      </c>
      <c r="B809" s="8" t="inlineStr">
        <is>
          <t>NJF-C1010</t>
        </is>
      </c>
      <c r="C809" s="8" t="inlineStr">
        <is>
          <t>FS</t>
        </is>
      </c>
      <c r="D809" s="8" t="n">
        <v>0</v>
      </c>
    </row>
    <row r="810">
      <c r="A810" s="8" t="inlineStr">
        <is>
          <t>NJF-C2010</t>
        </is>
      </c>
      <c r="B810" s="8" t="inlineStr">
        <is>
          <t>NJF-C2020</t>
        </is>
      </c>
      <c r="C810" s="8" t="inlineStr">
        <is>
          <t>SS</t>
        </is>
      </c>
      <c r="D810" s="8" t="n">
        <v>4</v>
      </c>
    </row>
    <row r="811">
      <c r="A811" s="8" t="inlineStr">
        <is>
          <t>NJF-C1010</t>
        </is>
      </c>
      <c r="B811" s="8" t="inlineStr">
        <is>
          <t>NJF-C2020</t>
        </is>
      </c>
      <c r="C811" s="8" t="inlineStr">
        <is>
          <t>SS</t>
        </is>
      </c>
      <c r="D811" s="8" t="n">
        <v>41</v>
      </c>
    </row>
    <row r="812">
      <c r="A812" s="8" t="inlineStr">
        <is>
          <t>NJF-C1010</t>
        </is>
      </c>
      <c r="B812" s="8" t="inlineStr">
        <is>
          <t>NJF-C1020</t>
        </is>
      </c>
      <c r="C812" s="8" t="inlineStr">
        <is>
          <t>SS</t>
        </is>
      </c>
      <c r="D812" s="8" t="n">
        <v>37</v>
      </c>
    </row>
    <row r="813">
      <c r="A813" s="8" t="inlineStr">
        <is>
          <t>NJF-C2020</t>
        </is>
      </c>
      <c r="B813" s="8" t="inlineStr">
        <is>
          <t>NJF-C2030</t>
        </is>
      </c>
      <c r="C813" s="8" t="inlineStr">
        <is>
          <t>FS</t>
        </is>
      </c>
      <c r="D813" s="8" t="n">
        <v>0</v>
      </c>
    </row>
    <row r="814">
      <c r="A814" s="8" t="inlineStr">
        <is>
          <t>NJF-C1020</t>
        </is>
      </c>
      <c r="B814" s="8" t="inlineStr">
        <is>
          <t>NJF-C2030</t>
        </is>
      </c>
      <c r="C814" s="8" t="inlineStr">
        <is>
          <t>FS</t>
        </is>
      </c>
      <c r="D814" s="8" t="n">
        <v>0</v>
      </c>
    </row>
    <row r="815">
      <c r="A815" s="8" t="inlineStr">
        <is>
          <t>NJF-C2010</t>
        </is>
      </c>
      <c r="B815" s="8" t="inlineStr">
        <is>
          <t>NJF-C2040</t>
        </is>
      </c>
      <c r="C815" s="8" t="inlineStr">
        <is>
          <t>FS</t>
        </is>
      </c>
      <c r="D815" s="8" t="n">
        <v>0</v>
      </c>
    </row>
    <row r="816">
      <c r="A816" s="8" t="inlineStr">
        <is>
          <t>NJF-C2010</t>
        </is>
      </c>
      <c r="B816" s="8" t="inlineStr">
        <is>
          <t>NJF-C2050</t>
        </is>
      </c>
      <c r="C816" s="8" t="inlineStr">
        <is>
          <t>FS</t>
        </is>
      </c>
      <c r="D816" s="8" t="n">
        <v>4</v>
      </c>
    </row>
    <row r="817">
      <c r="A817" s="8" t="inlineStr">
        <is>
          <t>NJF-C2020</t>
        </is>
      </c>
      <c r="B817" s="8" t="inlineStr">
        <is>
          <t>NJF-C2100</t>
        </is>
      </c>
      <c r="C817" s="8" t="inlineStr">
        <is>
          <t>FS</t>
        </is>
      </c>
      <c r="D817" s="8" t="n">
        <v>0</v>
      </c>
    </row>
    <row r="818">
      <c r="A818" s="8" t="inlineStr">
        <is>
          <t>NJF-C2030</t>
        </is>
      </c>
      <c r="B818" s="8" t="inlineStr">
        <is>
          <t>NJF-C2100</t>
        </is>
      </c>
      <c r="C818" s="8" t="inlineStr">
        <is>
          <t>FS</t>
        </is>
      </c>
      <c r="D818" s="8" t="n">
        <v>0</v>
      </c>
    </row>
    <row r="819">
      <c r="A819" s="8" t="inlineStr">
        <is>
          <t>NJF-C2040</t>
        </is>
      </c>
      <c r="B819" s="8" t="inlineStr">
        <is>
          <t>NJF-C2100</t>
        </is>
      </c>
      <c r="C819" s="8" t="inlineStr">
        <is>
          <t>FS</t>
        </is>
      </c>
      <c r="D819" s="8" t="n">
        <v>0</v>
      </c>
    </row>
    <row r="820">
      <c r="A820" s="8" t="inlineStr">
        <is>
          <t>NJF-C2050</t>
        </is>
      </c>
      <c r="B820" s="8" t="inlineStr">
        <is>
          <t>NJF-C2100</t>
        </is>
      </c>
      <c r="C820" s="8" t="inlineStr">
        <is>
          <t>FS</t>
        </is>
      </c>
      <c r="D820" s="8" t="n">
        <v>0</v>
      </c>
    </row>
    <row r="821">
      <c r="A821" s="8" t="inlineStr">
        <is>
          <t>NJF-C1020</t>
        </is>
      </c>
      <c r="B821" s="8" t="inlineStr">
        <is>
          <t>NJF-C2100</t>
        </is>
      </c>
      <c r="C821" s="8" t="inlineStr">
        <is>
          <t>FS</t>
        </is>
      </c>
      <c r="D821" s="8" t="n">
        <v>0</v>
      </c>
    </row>
    <row r="822">
      <c r="A822" s="8" t="inlineStr">
        <is>
          <t>NJF-C2100</t>
        </is>
      </c>
      <c r="B822" s="8" t="inlineStr">
        <is>
          <t>NJF-T1010</t>
        </is>
      </c>
      <c r="C822" s="8" t="inlineStr">
        <is>
          <t>FS</t>
        </is>
      </c>
      <c r="D822" s="8" t="n">
        <v>0</v>
      </c>
    </row>
    <row r="823">
      <c r="A823" s="8" t="inlineStr">
        <is>
          <t>NJF-T1010</t>
        </is>
      </c>
      <c r="B823" s="8" t="inlineStr">
        <is>
          <t>NJF-T1020</t>
        </is>
      </c>
      <c r="C823" s="8" t="inlineStr">
        <is>
          <t>FS</t>
        </is>
      </c>
      <c r="D823" s="8" t="n">
        <v>0</v>
      </c>
    </row>
    <row r="824">
      <c r="A824" s="8" t="inlineStr">
        <is>
          <t>NJF-T1020</t>
        </is>
      </c>
      <c r="B824" s="8" t="inlineStr">
        <is>
          <t>NJF-T1100</t>
        </is>
      </c>
      <c r="C824" s="8" t="inlineStr">
        <is>
          <t>FS</t>
        </is>
      </c>
      <c r="D824" s="8" t="n">
        <v>0</v>
      </c>
    </row>
    <row r="825">
      <c r="A825" s="8" t="inlineStr">
        <is>
          <t>NJF-T1020</t>
        </is>
      </c>
      <c r="B825" s="8" t="inlineStr">
        <is>
          <t>NJF-T2010</t>
        </is>
      </c>
      <c r="C825" s="8" t="inlineStr">
        <is>
          <t>FS</t>
        </is>
      </c>
      <c r="D825" s="8" t="n">
        <v>0</v>
      </c>
    </row>
    <row r="826">
      <c r="A826" s="8" t="inlineStr">
        <is>
          <t>NJF-T1020</t>
        </is>
      </c>
      <c r="B826" s="8" t="inlineStr">
        <is>
          <t>NJF-T2020</t>
        </is>
      </c>
      <c r="C826" s="8" t="inlineStr">
        <is>
          <t>FS</t>
        </is>
      </c>
      <c r="D826" s="8" t="n">
        <v>0</v>
      </c>
    </row>
    <row r="827">
      <c r="A827" s="8" t="inlineStr">
        <is>
          <t>NJF-C2100</t>
        </is>
      </c>
      <c r="B827" s="8" t="inlineStr">
        <is>
          <t>NJF-E1130</t>
        </is>
      </c>
      <c r="C827" s="8" t="inlineStr">
        <is>
          <t>FS</t>
        </is>
      </c>
      <c r="D827" s="8" t="n">
        <v>0</v>
      </c>
    </row>
    <row r="828">
      <c r="A828" s="8" t="inlineStr">
        <is>
          <t>NJF-E1130</t>
        </is>
      </c>
      <c r="B828" s="8" t="inlineStr">
        <is>
          <t>NJF-E1140</t>
        </is>
      </c>
      <c r="C828" s="8" t="inlineStr">
        <is>
          <t>FS</t>
        </is>
      </c>
      <c r="D828" s="8" t="n">
        <v>0</v>
      </c>
    </row>
    <row r="829">
      <c r="A829" s="8" t="inlineStr">
        <is>
          <t>NJF-T1100</t>
        </is>
      </c>
      <c r="B829" s="8" t="inlineStr">
        <is>
          <t>NJF-T3010</t>
        </is>
      </c>
      <c r="C829" s="8" t="inlineStr">
        <is>
          <t>FS</t>
        </is>
      </c>
      <c r="D829" s="8" t="n">
        <v>0</v>
      </c>
    </row>
    <row r="830">
      <c r="A830" s="8" t="inlineStr">
        <is>
          <t>NJF-T2010</t>
        </is>
      </c>
      <c r="B830" s="8" t="inlineStr">
        <is>
          <t>NJF-T3010</t>
        </is>
      </c>
      <c r="C830" s="8" t="inlineStr">
        <is>
          <t>FS</t>
        </is>
      </c>
      <c r="D830" s="8" t="n">
        <v>0</v>
      </c>
    </row>
    <row r="831">
      <c r="A831" s="8" t="inlineStr">
        <is>
          <t>NJF-T2020</t>
        </is>
      </c>
      <c r="B831" s="8" t="inlineStr">
        <is>
          <t>NJF-T3010</t>
        </is>
      </c>
      <c r="C831" s="8" t="inlineStr">
        <is>
          <t>FS</t>
        </is>
      </c>
      <c r="D831" s="8" t="n">
        <v>0</v>
      </c>
    </row>
    <row r="832">
      <c r="A832" s="8" t="inlineStr">
        <is>
          <t>NJF-E1140</t>
        </is>
      </c>
      <c r="B832" s="8" t="inlineStr">
        <is>
          <t>NJF-T3010</t>
        </is>
      </c>
      <c r="C832" s="8" t="inlineStr">
        <is>
          <t>FS</t>
        </is>
      </c>
      <c r="D832" s="8" t="n">
        <v>0</v>
      </c>
    </row>
    <row r="833">
      <c r="A833" s="8" t="inlineStr">
        <is>
          <t>NJF-T3010</t>
        </is>
      </c>
      <c r="B833" s="8" t="inlineStr">
        <is>
          <t>NJF-T3100</t>
        </is>
      </c>
      <c r="C833" s="8" t="inlineStr">
        <is>
          <t>FS</t>
        </is>
      </c>
      <c r="D833" s="8" t="n">
        <v>0</v>
      </c>
    </row>
    <row r="834">
      <c r="A834" s="8" t="inlineStr">
        <is>
          <t>PRJ-A1060</t>
        </is>
      </c>
      <c r="B834" s="8" t="inlineStr">
        <is>
          <t>NQR-E1010</t>
        </is>
      </c>
      <c r="C834" s="8" t="inlineStr">
        <is>
          <t>FS</t>
        </is>
      </c>
      <c r="D834" s="8" t="n">
        <v>0</v>
      </c>
    </row>
    <row r="835">
      <c r="A835" s="8" t="inlineStr">
        <is>
          <t>PRJ-M1150</t>
        </is>
      </c>
      <c r="B835" s="8" t="inlineStr">
        <is>
          <t>NQR-E1010</t>
        </is>
      </c>
      <c r="C835" s="8" t="inlineStr">
        <is>
          <t>FS</t>
        </is>
      </c>
      <c r="D835" s="8" t="n">
        <v>391</v>
      </c>
    </row>
    <row r="836">
      <c r="A836" s="8" t="inlineStr">
        <is>
          <t>NQR-E1010</t>
        </is>
      </c>
      <c r="B836" s="8" t="inlineStr">
        <is>
          <t>NQR-E1020</t>
        </is>
      </c>
      <c r="C836" s="8" t="inlineStr">
        <is>
          <t>FS</t>
        </is>
      </c>
      <c r="D836" s="8" t="n">
        <v>0</v>
      </c>
    </row>
    <row r="837">
      <c r="A837" s="8" t="inlineStr">
        <is>
          <t>NQR-E1010</t>
        </is>
      </c>
      <c r="B837" s="8" t="inlineStr">
        <is>
          <t>NQR-E1030</t>
        </is>
      </c>
      <c r="C837" s="8" t="inlineStr">
        <is>
          <t>FS</t>
        </is>
      </c>
      <c r="D837" s="8" t="n">
        <v>0</v>
      </c>
    </row>
    <row r="838">
      <c r="A838" s="8" t="inlineStr">
        <is>
          <t>NQR-E1030</t>
        </is>
      </c>
      <c r="B838" s="8" t="inlineStr">
        <is>
          <t>NQR-E1040</t>
        </is>
      </c>
      <c r="C838" s="8" t="inlineStr">
        <is>
          <t>FS</t>
        </is>
      </c>
      <c r="D838" s="8" t="n">
        <v>0</v>
      </c>
    </row>
    <row r="839">
      <c r="A839" s="8" t="inlineStr">
        <is>
          <t>NQR-E1030</t>
        </is>
      </c>
      <c r="B839" s="8" t="inlineStr">
        <is>
          <t>NQR-E1050</t>
        </is>
      </c>
      <c r="C839" s="8" t="inlineStr">
        <is>
          <t>FS</t>
        </is>
      </c>
      <c r="D839" s="8" t="n">
        <v>0</v>
      </c>
    </row>
    <row r="840">
      <c r="A840" s="8" t="inlineStr">
        <is>
          <t>NQR-E1050</t>
        </is>
      </c>
      <c r="B840" s="8" t="inlineStr">
        <is>
          <t>NQR-E1060</t>
        </is>
      </c>
      <c r="C840" s="8" t="inlineStr">
        <is>
          <t>FS</t>
        </is>
      </c>
      <c r="D840" s="8" t="n">
        <v>0</v>
      </c>
    </row>
    <row r="841">
      <c r="A841" s="8" t="inlineStr">
        <is>
          <t>NQR-E1050</t>
        </is>
      </c>
      <c r="B841" s="8" t="inlineStr">
        <is>
          <t>NQR-E1070</t>
        </is>
      </c>
      <c r="C841" s="8" t="inlineStr">
        <is>
          <t>FS</t>
        </is>
      </c>
      <c r="D841" s="8" t="n">
        <v>0</v>
      </c>
    </row>
    <row r="842">
      <c r="A842" s="8" t="inlineStr">
        <is>
          <t>NQR-E1070</t>
        </is>
      </c>
      <c r="B842" s="8" t="inlineStr">
        <is>
          <t>NQR-E1080</t>
        </is>
      </c>
      <c r="C842" s="8" t="inlineStr">
        <is>
          <t>FS</t>
        </is>
      </c>
      <c r="D842" s="8" t="n">
        <v>0</v>
      </c>
    </row>
    <row r="843">
      <c r="A843" s="8" t="inlineStr">
        <is>
          <t>NQR-E1070</t>
        </is>
      </c>
      <c r="B843" s="8" t="inlineStr">
        <is>
          <t>NQR-E1090</t>
        </is>
      </c>
      <c r="C843" s="8" t="inlineStr">
        <is>
          <t>FS</t>
        </is>
      </c>
      <c r="D843" s="8" t="n">
        <v>0</v>
      </c>
    </row>
    <row r="844">
      <c r="A844" s="8" t="inlineStr">
        <is>
          <t>NQR-E1090</t>
        </is>
      </c>
      <c r="B844" s="8" t="inlineStr">
        <is>
          <t>NQR-E1100</t>
        </is>
      </c>
      <c r="C844" s="8" t="inlineStr">
        <is>
          <t>FS</t>
        </is>
      </c>
      <c r="D844" s="8" t="n">
        <v>0</v>
      </c>
    </row>
    <row r="845">
      <c r="A845" s="8" t="inlineStr">
        <is>
          <t>NQR-E1050</t>
        </is>
      </c>
      <c r="B845" s="8" t="inlineStr">
        <is>
          <t>NQR-E1110</t>
        </is>
      </c>
      <c r="C845" s="8" t="inlineStr">
        <is>
          <t>FS</t>
        </is>
      </c>
      <c r="D845" s="8" t="n">
        <v>10</v>
      </c>
    </row>
    <row r="846">
      <c r="A846" s="8" t="inlineStr">
        <is>
          <t>NQR-E1090</t>
        </is>
      </c>
      <c r="B846" s="8" t="inlineStr">
        <is>
          <t>NQR-E1110</t>
        </is>
      </c>
      <c r="C846" s="8" t="inlineStr">
        <is>
          <t>FF</t>
        </is>
      </c>
      <c r="D846" s="8" t="n">
        <v>0</v>
      </c>
    </row>
    <row r="847">
      <c r="A847" s="8" t="inlineStr">
        <is>
          <t>NQR-E1110</t>
        </is>
      </c>
      <c r="B847" s="8" t="inlineStr">
        <is>
          <t>NQR-E1120</t>
        </is>
      </c>
      <c r="C847" s="8" t="inlineStr">
        <is>
          <t>FS</t>
        </is>
      </c>
      <c r="D847" s="8" t="n">
        <v>0</v>
      </c>
    </row>
    <row r="848">
      <c r="A848" s="8" t="inlineStr">
        <is>
          <t>NQR-E1090</t>
        </is>
      </c>
      <c r="B848" s="8" t="inlineStr">
        <is>
          <t>NQR-E1200</t>
        </is>
      </c>
      <c r="C848" s="8" t="inlineStr">
        <is>
          <t>FS</t>
        </is>
      </c>
      <c r="D848" s="8" t="n">
        <v>0</v>
      </c>
    </row>
    <row r="849">
      <c r="A849" s="8" t="inlineStr">
        <is>
          <t>NQR-E1110</t>
        </is>
      </c>
      <c r="B849" s="8" t="inlineStr">
        <is>
          <t>NQR-E1200</t>
        </is>
      </c>
      <c r="C849" s="8" t="inlineStr">
        <is>
          <t>FS</t>
        </is>
      </c>
      <c r="D849" s="8" t="n">
        <v>0</v>
      </c>
    </row>
    <row r="850">
      <c r="A850" s="8" t="inlineStr">
        <is>
          <t>NQR-E1020</t>
        </is>
      </c>
      <c r="B850" s="8" t="inlineStr">
        <is>
          <t>NQR-E1210</t>
        </is>
      </c>
      <c r="C850" s="8" t="inlineStr">
        <is>
          <t>FS</t>
        </is>
      </c>
      <c r="D850" s="8" t="n">
        <v>0</v>
      </c>
    </row>
    <row r="851">
      <c r="A851" s="8" t="inlineStr">
        <is>
          <t>NQR-E1040</t>
        </is>
      </c>
      <c r="B851" s="8" t="inlineStr">
        <is>
          <t>NQR-E1210</t>
        </is>
      </c>
      <c r="C851" s="8" t="inlineStr">
        <is>
          <t>FS</t>
        </is>
      </c>
      <c r="D851" s="8" t="n">
        <v>0</v>
      </c>
    </row>
    <row r="852">
      <c r="A852" s="8" t="inlineStr">
        <is>
          <t>NQR-E1060</t>
        </is>
      </c>
      <c r="B852" s="8" t="inlineStr">
        <is>
          <t>NQR-E1210</t>
        </is>
      </c>
      <c r="C852" s="8" t="inlineStr">
        <is>
          <t>FS</t>
        </is>
      </c>
      <c r="D852" s="8" t="n">
        <v>0</v>
      </c>
    </row>
    <row r="853">
      <c r="A853" s="8" t="inlineStr">
        <is>
          <t>NQR-E1080</t>
        </is>
      </c>
      <c r="B853" s="8" t="inlineStr">
        <is>
          <t>NQR-E1210</t>
        </is>
      </c>
      <c r="C853" s="8" t="inlineStr">
        <is>
          <t>FS</t>
        </is>
      </c>
      <c r="D853" s="8" t="n">
        <v>0</v>
      </c>
    </row>
    <row r="854">
      <c r="A854" s="8" t="inlineStr">
        <is>
          <t>NQR-E1100</t>
        </is>
      </c>
      <c r="B854" s="8" t="inlineStr">
        <is>
          <t>NQR-E1210</t>
        </is>
      </c>
      <c r="C854" s="8" t="inlineStr">
        <is>
          <t>FS</t>
        </is>
      </c>
      <c r="D854" s="8" t="n">
        <v>0</v>
      </c>
    </row>
    <row r="855">
      <c r="A855" s="8" t="inlineStr">
        <is>
          <t>NQR-E1120</t>
        </is>
      </c>
      <c r="B855" s="8" t="inlineStr">
        <is>
          <t>NQR-E1210</t>
        </is>
      </c>
      <c r="C855" s="8" t="inlineStr">
        <is>
          <t>FS</t>
        </is>
      </c>
      <c r="D855" s="8" t="n">
        <v>0</v>
      </c>
    </row>
    <row r="856">
      <c r="A856" s="8" t="inlineStr">
        <is>
          <t>NQR-E1200</t>
        </is>
      </c>
      <c r="B856" s="8" t="inlineStr">
        <is>
          <t>NQR-E1210</t>
        </is>
      </c>
      <c r="C856" s="8" t="inlineStr">
        <is>
          <t>FS</t>
        </is>
      </c>
      <c r="D856" s="8" t="n">
        <v>0</v>
      </c>
    </row>
    <row r="857">
      <c r="A857" s="8" t="inlineStr">
        <is>
          <t>NQR-E1210</t>
        </is>
      </c>
      <c r="B857" s="8" t="inlineStr">
        <is>
          <t>NQR-P1010</t>
        </is>
      </c>
      <c r="C857" s="8" t="inlineStr">
        <is>
          <t>FS</t>
        </is>
      </c>
      <c r="D857" s="8" t="n">
        <v>0</v>
      </c>
    </row>
    <row r="858">
      <c r="A858" s="8" t="inlineStr">
        <is>
          <t>NQR-E1210</t>
        </is>
      </c>
      <c r="B858" s="8" t="inlineStr">
        <is>
          <t>NQR-P1020</t>
        </is>
      </c>
      <c r="C858" s="8" t="inlineStr">
        <is>
          <t>FS</t>
        </is>
      </c>
      <c r="D858" s="8" t="n">
        <v>0</v>
      </c>
    </row>
    <row r="859">
      <c r="A859" s="8" t="inlineStr">
        <is>
          <t>NQR-E1210</t>
        </is>
      </c>
      <c r="B859" s="8" t="inlineStr">
        <is>
          <t>NQR-P1030</t>
        </is>
      </c>
      <c r="C859" s="8" t="inlineStr">
        <is>
          <t>FS</t>
        </is>
      </c>
      <c r="D859" s="8" t="n">
        <v>0</v>
      </c>
    </row>
    <row r="860">
      <c r="A860" s="8" t="inlineStr">
        <is>
          <t>NQR-E1210</t>
        </is>
      </c>
      <c r="B860" s="8" t="inlineStr">
        <is>
          <t>NQR-P1040</t>
        </is>
      </c>
      <c r="C860" s="8" t="inlineStr">
        <is>
          <t>FS</t>
        </is>
      </c>
      <c r="D860" s="8" t="n">
        <v>0</v>
      </c>
    </row>
    <row r="861">
      <c r="A861" s="8" t="inlineStr">
        <is>
          <t>NQR-P1010</t>
        </is>
      </c>
      <c r="B861" s="8" t="inlineStr">
        <is>
          <t>NQR-P1050</t>
        </is>
      </c>
      <c r="C861" s="8" t="inlineStr">
        <is>
          <t>FS</t>
        </is>
      </c>
      <c r="D861" s="8" t="n">
        <v>0</v>
      </c>
    </row>
    <row r="862">
      <c r="A862" s="8" t="inlineStr">
        <is>
          <t>NQR-P1020</t>
        </is>
      </c>
      <c r="B862" s="8" t="inlineStr">
        <is>
          <t>NQR-P1050</t>
        </is>
      </c>
      <c r="C862" s="8" t="inlineStr">
        <is>
          <t>FS</t>
        </is>
      </c>
      <c r="D862" s="8" t="n">
        <v>0</v>
      </c>
    </row>
    <row r="863">
      <c r="A863" s="8" t="inlineStr">
        <is>
          <t>NQR-P1030</t>
        </is>
      </c>
      <c r="B863" s="8" t="inlineStr">
        <is>
          <t>NQR-P1050</t>
        </is>
      </c>
      <c r="C863" s="8" t="inlineStr">
        <is>
          <t>FS</t>
        </is>
      </c>
      <c r="D863" s="8" t="n">
        <v>0</v>
      </c>
    </row>
    <row r="864">
      <c r="A864" s="8" t="inlineStr">
        <is>
          <t>NQR-P1040</t>
        </is>
      </c>
      <c r="B864" s="8" t="inlineStr">
        <is>
          <t>NQR-P1050</t>
        </is>
      </c>
      <c r="C864" s="8" t="inlineStr">
        <is>
          <t>FS</t>
        </is>
      </c>
      <c r="D864" s="8" t="n">
        <v>0</v>
      </c>
    </row>
    <row r="865">
      <c r="A865" s="8" t="inlineStr">
        <is>
          <t>NQR-P1050</t>
        </is>
      </c>
      <c r="B865" s="8" t="inlineStr">
        <is>
          <t>NQR-P1060</t>
        </is>
      </c>
      <c r="C865" s="8" t="inlineStr">
        <is>
          <t>FS</t>
        </is>
      </c>
      <c r="D865" s="8" t="n">
        <v>0</v>
      </c>
    </row>
    <row r="866">
      <c r="A866" s="8" t="inlineStr">
        <is>
          <t>NQR-P1060</t>
        </is>
      </c>
      <c r="B866" s="8" t="inlineStr">
        <is>
          <t>NQR-P1070</t>
        </is>
      </c>
      <c r="C866" s="8" t="inlineStr">
        <is>
          <t>FS</t>
        </is>
      </c>
      <c r="D866" s="8" t="n">
        <v>0</v>
      </c>
    </row>
    <row r="867">
      <c r="A867" s="8" t="inlineStr">
        <is>
          <t>NQR-P1070</t>
        </is>
      </c>
      <c r="B867" s="8" t="inlineStr">
        <is>
          <t>NQR-P1100</t>
        </is>
      </c>
      <c r="C867" s="8" t="inlineStr">
        <is>
          <t>FS</t>
        </is>
      </c>
      <c r="D867" s="8" t="n">
        <v>0</v>
      </c>
    </row>
    <row r="868">
      <c r="A868" s="8" t="inlineStr">
        <is>
          <t>NQR-P1100</t>
        </is>
      </c>
      <c r="B868" s="8" t="inlineStr">
        <is>
          <t>NQR-C2010</t>
        </is>
      </c>
      <c r="C868" s="8" t="inlineStr">
        <is>
          <t>FS</t>
        </is>
      </c>
      <c r="D868" s="8" t="n">
        <v>0</v>
      </c>
    </row>
    <row r="869">
      <c r="A869" s="8" t="inlineStr">
        <is>
          <t>NQR-E1120</t>
        </is>
      </c>
      <c r="B869" s="8" t="inlineStr">
        <is>
          <t>NQR-X1010</t>
        </is>
      </c>
      <c r="C869" s="8" t="inlineStr">
        <is>
          <t>FS</t>
        </is>
      </c>
      <c r="D869" s="8" t="n">
        <v>0</v>
      </c>
    </row>
    <row r="870">
      <c r="A870" s="8" t="inlineStr">
        <is>
          <t>NQR-X1010</t>
        </is>
      </c>
      <c r="B870" s="8" t="inlineStr">
        <is>
          <t>NQR-X1020</t>
        </is>
      </c>
      <c r="C870" s="8" t="inlineStr">
        <is>
          <t>FS</t>
        </is>
      </c>
      <c r="D870" s="8" t="n">
        <v>0</v>
      </c>
    </row>
    <row r="871">
      <c r="A871" s="8" t="inlineStr">
        <is>
          <t>NQR-X1020</t>
        </is>
      </c>
      <c r="B871" s="8" t="inlineStr">
        <is>
          <t>NQR-C1010</t>
        </is>
      </c>
      <c r="C871" s="8" t="inlineStr">
        <is>
          <t>FS</t>
        </is>
      </c>
      <c r="D871" s="8" t="n">
        <v>0</v>
      </c>
    </row>
    <row r="872">
      <c r="A872" s="8" t="inlineStr">
        <is>
          <t>NQR-C2010</t>
        </is>
      </c>
      <c r="B872" s="8" t="inlineStr">
        <is>
          <t>NQR-C2020</t>
        </is>
      </c>
      <c r="C872" s="8" t="inlineStr">
        <is>
          <t>SS</t>
        </is>
      </c>
      <c r="D872" s="8" t="n">
        <v>4</v>
      </c>
    </row>
    <row r="873">
      <c r="A873" s="8" t="inlineStr">
        <is>
          <t>NQR-C1010</t>
        </is>
      </c>
      <c r="B873" s="8" t="inlineStr">
        <is>
          <t>NQR-C2020</t>
        </is>
      </c>
      <c r="C873" s="8" t="inlineStr">
        <is>
          <t>SS</t>
        </is>
      </c>
      <c r="D873" s="8" t="n">
        <v>41</v>
      </c>
    </row>
    <row r="874">
      <c r="A874" s="8" t="inlineStr">
        <is>
          <t>NQR-C1010</t>
        </is>
      </c>
      <c r="B874" s="8" t="inlineStr">
        <is>
          <t>NQR-C1020</t>
        </is>
      </c>
      <c r="C874" s="8" t="inlineStr">
        <is>
          <t>SS</t>
        </is>
      </c>
      <c r="D874" s="8" t="n">
        <v>37</v>
      </c>
    </row>
    <row r="875">
      <c r="A875" s="8" t="inlineStr">
        <is>
          <t>NQR-C2020</t>
        </is>
      </c>
      <c r="B875" s="8" t="inlineStr">
        <is>
          <t>NQR-C2030</t>
        </is>
      </c>
      <c r="C875" s="8" t="inlineStr">
        <is>
          <t>FS</t>
        </is>
      </c>
      <c r="D875" s="8" t="n">
        <v>0</v>
      </c>
    </row>
    <row r="876">
      <c r="A876" s="8" t="inlineStr">
        <is>
          <t>NQR-C1020</t>
        </is>
      </c>
      <c r="B876" s="8" t="inlineStr">
        <is>
          <t>NQR-C2030</t>
        </is>
      </c>
      <c r="C876" s="8" t="inlineStr">
        <is>
          <t>FS</t>
        </is>
      </c>
      <c r="D876" s="8" t="n">
        <v>0</v>
      </c>
    </row>
    <row r="877">
      <c r="A877" s="8" t="inlineStr">
        <is>
          <t>NQR-C2010</t>
        </is>
      </c>
      <c r="B877" s="8" t="inlineStr">
        <is>
          <t>NQR-C2040</t>
        </is>
      </c>
      <c r="C877" s="8" t="inlineStr">
        <is>
          <t>FS</t>
        </is>
      </c>
      <c r="D877" s="8" t="n">
        <v>0</v>
      </c>
    </row>
    <row r="878">
      <c r="A878" s="8" t="inlineStr">
        <is>
          <t>NQR-C2010</t>
        </is>
      </c>
      <c r="B878" s="8" t="inlineStr">
        <is>
          <t>NQR-C2050</t>
        </is>
      </c>
      <c r="C878" s="8" t="inlineStr">
        <is>
          <t>FS</t>
        </is>
      </c>
      <c r="D878" s="8" t="n">
        <v>4</v>
      </c>
    </row>
    <row r="879">
      <c r="A879" s="8" t="inlineStr">
        <is>
          <t>NQR-C2020</t>
        </is>
      </c>
      <c r="B879" s="8" t="inlineStr">
        <is>
          <t>NQR-C2100</t>
        </is>
      </c>
      <c r="C879" s="8" t="inlineStr">
        <is>
          <t>FS</t>
        </is>
      </c>
      <c r="D879" s="8" t="n">
        <v>0</v>
      </c>
    </row>
    <row r="880">
      <c r="A880" s="8" t="inlineStr">
        <is>
          <t>NQR-C2030</t>
        </is>
      </c>
      <c r="B880" s="8" t="inlineStr">
        <is>
          <t>NQR-C2100</t>
        </is>
      </c>
      <c r="C880" s="8" t="inlineStr">
        <is>
          <t>FS</t>
        </is>
      </c>
      <c r="D880" s="8" t="n">
        <v>0</v>
      </c>
    </row>
    <row r="881">
      <c r="A881" s="8" t="inlineStr">
        <is>
          <t>NQR-C2040</t>
        </is>
      </c>
      <c r="B881" s="8" t="inlineStr">
        <is>
          <t>NQR-C2100</t>
        </is>
      </c>
      <c r="C881" s="8" t="inlineStr">
        <is>
          <t>FS</t>
        </is>
      </c>
      <c r="D881" s="8" t="n">
        <v>0</v>
      </c>
    </row>
    <row r="882">
      <c r="A882" s="8" t="inlineStr">
        <is>
          <t>NQR-C2050</t>
        </is>
      </c>
      <c r="B882" s="8" t="inlineStr">
        <is>
          <t>NQR-C2100</t>
        </is>
      </c>
      <c r="C882" s="8" t="inlineStr">
        <is>
          <t>FS</t>
        </is>
      </c>
      <c r="D882" s="8" t="n">
        <v>0</v>
      </c>
    </row>
    <row r="883">
      <c r="A883" s="8" t="inlineStr">
        <is>
          <t>NQR-C1020</t>
        </is>
      </c>
      <c r="B883" s="8" t="inlineStr">
        <is>
          <t>NQR-C2100</t>
        </is>
      </c>
      <c r="C883" s="8" t="inlineStr">
        <is>
          <t>FS</t>
        </is>
      </c>
      <c r="D883" s="8" t="n">
        <v>0</v>
      </c>
    </row>
    <row r="884">
      <c r="A884" s="8" t="inlineStr">
        <is>
          <t>NQR-C2100</t>
        </is>
      </c>
      <c r="B884" s="8" t="inlineStr">
        <is>
          <t>NQR-T1010</t>
        </is>
      </c>
      <c r="C884" s="8" t="inlineStr">
        <is>
          <t>FS</t>
        </is>
      </c>
      <c r="D884" s="8" t="n">
        <v>0</v>
      </c>
    </row>
    <row r="885">
      <c r="A885" s="8" t="inlineStr">
        <is>
          <t>NQR-T1010</t>
        </is>
      </c>
      <c r="B885" s="8" t="inlineStr">
        <is>
          <t>NQR-T1020</t>
        </is>
      </c>
      <c r="C885" s="8" t="inlineStr">
        <is>
          <t>FS</t>
        </is>
      </c>
      <c r="D885" s="8" t="n">
        <v>0</v>
      </c>
    </row>
    <row r="886">
      <c r="A886" s="8" t="inlineStr">
        <is>
          <t>NQR-T1020</t>
        </is>
      </c>
      <c r="B886" s="8" t="inlineStr">
        <is>
          <t>NQR-T1100</t>
        </is>
      </c>
      <c r="C886" s="8" t="inlineStr">
        <is>
          <t>FS</t>
        </is>
      </c>
      <c r="D886" s="8" t="n">
        <v>0</v>
      </c>
    </row>
    <row r="887">
      <c r="A887" s="8" t="inlineStr">
        <is>
          <t>NQR-T1020</t>
        </is>
      </c>
      <c r="B887" s="8" t="inlineStr">
        <is>
          <t>NQR-T2010</t>
        </is>
      </c>
      <c r="C887" s="8" t="inlineStr">
        <is>
          <t>FS</t>
        </is>
      </c>
      <c r="D887" s="8" t="n">
        <v>0</v>
      </c>
    </row>
    <row r="888">
      <c r="A888" s="8" t="inlineStr">
        <is>
          <t>NQR-T1020</t>
        </is>
      </c>
      <c r="B888" s="8" t="inlineStr">
        <is>
          <t>NQR-T2020</t>
        </is>
      </c>
      <c r="C888" s="8" t="inlineStr">
        <is>
          <t>FS</t>
        </is>
      </c>
      <c r="D888" s="8" t="n">
        <v>0</v>
      </c>
    </row>
    <row r="889">
      <c r="A889" s="8" t="inlineStr">
        <is>
          <t>NQR-C2100</t>
        </is>
      </c>
      <c r="B889" s="8" t="inlineStr">
        <is>
          <t>NQR-E1130</t>
        </is>
      </c>
      <c r="C889" s="8" t="inlineStr">
        <is>
          <t>FS</t>
        </is>
      </c>
      <c r="D889" s="8" t="n">
        <v>0</v>
      </c>
    </row>
    <row r="890">
      <c r="A890" s="8" t="inlineStr">
        <is>
          <t>NQR-E1130</t>
        </is>
      </c>
      <c r="B890" s="8" t="inlineStr">
        <is>
          <t>NQR-E1140</t>
        </is>
      </c>
      <c r="C890" s="8" t="inlineStr">
        <is>
          <t>FS</t>
        </is>
      </c>
      <c r="D890" s="8" t="n">
        <v>0</v>
      </c>
    </row>
    <row r="891">
      <c r="A891" s="8" t="inlineStr">
        <is>
          <t>NQR-T1100</t>
        </is>
      </c>
      <c r="B891" s="8" t="inlineStr">
        <is>
          <t>NQR-T3010</t>
        </is>
      </c>
      <c r="C891" s="8" t="inlineStr">
        <is>
          <t>FS</t>
        </is>
      </c>
      <c r="D891" s="8" t="n">
        <v>0</v>
      </c>
    </row>
    <row r="892">
      <c r="A892" s="8" t="inlineStr">
        <is>
          <t>NQR-T2010</t>
        </is>
      </c>
      <c r="B892" s="8" t="inlineStr">
        <is>
          <t>NQR-T3010</t>
        </is>
      </c>
      <c r="C892" s="8" t="inlineStr">
        <is>
          <t>FS</t>
        </is>
      </c>
      <c r="D892" s="8" t="n">
        <v>0</v>
      </c>
    </row>
    <row r="893">
      <c r="A893" s="8" t="inlineStr">
        <is>
          <t>NQR-T2020</t>
        </is>
      </c>
      <c r="B893" s="8" t="inlineStr">
        <is>
          <t>NQR-T3010</t>
        </is>
      </c>
      <c r="C893" s="8" t="inlineStr">
        <is>
          <t>FS</t>
        </is>
      </c>
      <c r="D893" s="8" t="n">
        <v>0</v>
      </c>
    </row>
    <row r="894">
      <c r="A894" s="8" t="inlineStr">
        <is>
          <t>NQR-E1140</t>
        </is>
      </c>
      <c r="B894" s="8" t="inlineStr">
        <is>
          <t>NQR-T3010</t>
        </is>
      </c>
      <c r="C894" s="8" t="inlineStr">
        <is>
          <t>FS</t>
        </is>
      </c>
      <c r="D894" s="8" t="n">
        <v>0</v>
      </c>
    </row>
    <row r="895">
      <c r="A895" s="8" t="inlineStr">
        <is>
          <t>NQR-T3010</t>
        </is>
      </c>
      <c r="B895" s="8" t="inlineStr">
        <is>
          <t>NQR-T3100</t>
        </is>
      </c>
      <c r="C895" s="8" t="inlineStr">
        <is>
          <t>FS</t>
        </is>
      </c>
      <c r="D895" s="8" t="n">
        <v>0</v>
      </c>
    </row>
    <row r="896">
      <c r="A896" s="8" t="inlineStr">
        <is>
          <t>NRY-T3100</t>
        </is>
      </c>
      <c r="B896" s="8" t="inlineStr">
        <is>
          <t>PRJ-C1010</t>
        </is>
      </c>
      <c r="C896" s="8" t="inlineStr">
        <is>
          <t>FS</t>
        </is>
      </c>
      <c r="D896" s="8" t="n">
        <v>0</v>
      </c>
    </row>
    <row r="897">
      <c r="A897" s="8" t="inlineStr">
        <is>
          <t>HMK-T3100</t>
        </is>
      </c>
      <c r="B897" s="8" t="inlineStr">
        <is>
          <t>PRJ-C1010</t>
        </is>
      </c>
      <c r="C897" s="8" t="inlineStr">
        <is>
          <t>FS</t>
        </is>
      </c>
      <c r="D897" s="8" t="n">
        <v>0</v>
      </c>
    </row>
    <row r="898">
      <c r="A898" s="8" t="inlineStr">
        <is>
          <t>ERY-T3100</t>
        </is>
      </c>
      <c r="B898" s="8" t="inlineStr">
        <is>
          <t>PRJ-C1010</t>
        </is>
      </c>
      <c r="C898" s="8" t="inlineStr">
        <is>
          <t>FS</t>
        </is>
      </c>
      <c r="D898" s="8" t="n">
        <v>0</v>
      </c>
    </row>
    <row r="899">
      <c r="A899" s="8" t="inlineStr">
        <is>
          <t>HJD-T3100</t>
        </is>
      </c>
      <c r="B899" s="8" t="inlineStr">
        <is>
          <t>PRJ-C1010</t>
        </is>
      </c>
      <c r="C899" s="8" t="inlineStr">
        <is>
          <t>FS</t>
        </is>
      </c>
      <c r="D899" s="8" t="n">
        <v>0</v>
      </c>
    </row>
    <row r="900">
      <c r="A900" s="8" t="inlineStr">
        <is>
          <t>EDM-T3100</t>
        </is>
      </c>
      <c r="B900" s="8" t="inlineStr">
        <is>
          <t>PRJ-C1010</t>
        </is>
      </c>
      <c r="C900" s="8" t="inlineStr">
        <is>
          <t>FS</t>
        </is>
      </c>
      <c r="D900" s="8" t="n">
        <v>0</v>
      </c>
    </row>
    <row r="901">
      <c r="A901" s="8" t="inlineStr">
        <is>
          <t>NQS-T3100</t>
        </is>
      </c>
      <c r="B901" s="8" t="inlineStr">
        <is>
          <t>PRJ-C1010</t>
        </is>
      </c>
      <c r="C901" s="8" t="inlineStr">
        <is>
          <t>FS</t>
        </is>
      </c>
      <c r="D901" s="8" t="n">
        <v>0</v>
      </c>
    </row>
    <row r="902">
      <c r="A902" s="8" t="inlineStr">
        <is>
          <t>EHF-T3100</t>
        </is>
      </c>
      <c r="B902" s="8" t="inlineStr">
        <is>
          <t>PRJ-C1010</t>
        </is>
      </c>
      <c r="C902" s="8" t="inlineStr">
        <is>
          <t>FS</t>
        </is>
      </c>
      <c r="D902" s="8" t="n">
        <v>0</v>
      </c>
    </row>
    <row r="903">
      <c r="A903" s="8" t="inlineStr">
        <is>
          <t>NMJ-T3100</t>
        </is>
      </c>
      <c r="B903" s="8" t="inlineStr">
        <is>
          <t>PRJ-C1010</t>
        </is>
      </c>
      <c r="C903" s="8" t="inlineStr">
        <is>
          <t>FS</t>
        </is>
      </c>
      <c r="D903" s="8" t="n">
        <v>0</v>
      </c>
    </row>
    <row r="904">
      <c r="A904" s="8" t="inlineStr">
        <is>
          <t>HKA-T3100</t>
        </is>
      </c>
      <c r="B904" s="8" t="inlineStr">
        <is>
          <t>PRJ-C1010</t>
        </is>
      </c>
      <c r="C904" s="8" t="inlineStr">
        <is>
          <t>FS</t>
        </is>
      </c>
      <c r="D904" s="8" t="n">
        <v>0</v>
      </c>
    </row>
    <row r="905">
      <c r="A905" s="8" t="inlineStr">
        <is>
          <t>HMD-T3100</t>
        </is>
      </c>
      <c r="B905" s="8" t="inlineStr">
        <is>
          <t>PRJ-C1010</t>
        </is>
      </c>
      <c r="C905" s="8" t="inlineStr">
        <is>
          <t>FS</t>
        </is>
      </c>
      <c r="D905" s="8" t="n">
        <v>0</v>
      </c>
    </row>
    <row r="906">
      <c r="A906" s="8" t="inlineStr">
        <is>
          <t>EAB-T3100</t>
        </is>
      </c>
      <c r="B906" s="8" t="inlineStr">
        <is>
          <t>PRJ-C1010</t>
        </is>
      </c>
      <c r="C906" s="8" t="inlineStr">
        <is>
          <t>FS</t>
        </is>
      </c>
      <c r="D906" s="8" t="n">
        <v>0</v>
      </c>
    </row>
    <row r="907">
      <c r="A907" s="8" t="inlineStr">
        <is>
          <t>NHL-T3100</t>
        </is>
      </c>
      <c r="B907" s="8" t="inlineStr">
        <is>
          <t>PRJ-C1010</t>
        </is>
      </c>
      <c r="C907" s="8" t="inlineStr">
        <is>
          <t>FS</t>
        </is>
      </c>
      <c r="D907" s="8" t="n">
        <v>0</v>
      </c>
    </row>
    <row r="908">
      <c r="A908" s="8" t="inlineStr">
        <is>
          <t>NJF-T3100</t>
        </is>
      </c>
      <c r="B908" s="8" t="inlineStr">
        <is>
          <t>PRJ-C1010</t>
        </is>
      </c>
      <c r="C908" s="8" t="inlineStr">
        <is>
          <t>FS</t>
        </is>
      </c>
      <c r="D908" s="8" t="n">
        <v>0</v>
      </c>
    </row>
    <row r="909">
      <c r="A909" s="8" t="inlineStr">
        <is>
          <t>NQR-T3100</t>
        </is>
      </c>
      <c r="B909" s="8" t="inlineStr">
        <is>
          <t>PRJ-C1010</t>
        </is>
      </c>
      <c r="C909" s="8" t="inlineStr">
        <is>
          <t>FS</t>
        </is>
      </c>
      <c r="D909" s="8" t="n">
        <v>0</v>
      </c>
    </row>
    <row r="910">
      <c r="A910" s="8" t="inlineStr">
        <is>
          <t>PRJ-C1010</t>
        </is>
      </c>
      <c r="B910" s="8" t="inlineStr">
        <is>
          <t>PRJ-MX99</t>
        </is>
      </c>
      <c r="C910" s="8" t="inlineStr">
        <is>
          <t>FS</t>
        </is>
      </c>
      <c r="D910" s="8" t="n">
        <v>0</v>
      </c>
    </row>
    <row r="911">
      <c r="A911" s="8" t="inlineStr">
        <is>
          <t>PRJ-M1250</t>
        </is>
      </c>
      <c r="B911" s="8" t="inlineStr">
        <is>
          <t>PRJ-MX99</t>
        </is>
      </c>
      <c r="C911" s="8" t="inlineStr">
        <is>
          <t>FS</t>
        </is>
      </c>
      <c r="D911" s="8" t="n">
        <v>0</v>
      </c>
    </row>
    <row r="912">
      <c r="A912" s="8" t="inlineStr">
        <is>
          <t>PRJ-M2100</t>
        </is>
      </c>
      <c r="B912" s="8" t="inlineStr">
        <is>
          <t>PRJ-MX99</t>
        </is>
      </c>
      <c r="C912" s="8" t="inlineStr">
        <is>
          <t>FS</t>
        </is>
      </c>
      <c r="D912" s="8" t="n">
        <v>0</v>
      </c>
    </row>
    <row r="913">
      <c r="A913" s="8" t="inlineStr">
        <is>
          <t>PRJ-M0000</t>
        </is>
      </c>
      <c r="B913" s="8" t="inlineStr">
        <is>
          <t>PRJ-MX99</t>
        </is>
      </c>
      <c r="C913" s="8" t="inlineStr">
        <is>
          <t>FS</t>
        </is>
      </c>
      <c r="D913" s="8" t="n">
        <v>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34" customWidth="1" min="4" max="4"/>
    <col width="28" customWidth="1" min="5" max="5"/>
    <col width="9" customWidth="1" min="6" max="6"/>
    <col width="15" customWidth="1" min="7" max="7"/>
    <col width="52" customWidth="1" min="8" max="8"/>
    <col width="17" customWidth="1" min="9" max="9"/>
    <col width="17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6" t="inlineStr">
        <is>
          <t>Invoices per month, detailed: each payment milestone is invoiced in the month its milestone activity is achieved in the programme</t>
        </is>
      </c>
    </row>
    <row r="2">
      <c r="A2" s="3" t="inlineStr">
        <is>
          <t>Amount = clause 15 payment milestone x Annex 3 station price (formulas link to Payment_Milestones). Invoice month = month of the trigger milestone date. Payment terms after invoicing (days to pay) are not modelled.</t>
        </is>
      </c>
    </row>
    <row r="4" ht="32" customHeight="1">
      <c r="A4" s="7" t="inlineStr">
        <is>
          <t>Invoice month</t>
        </is>
      </c>
      <c r="B4" s="7" t="inlineStr">
        <is>
          <t>Milestone date</t>
        </is>
      </c>
      <c r="C4" s="7" t="inlineStr">
        <is>
          <t>Milestone</t>
        </is>
      </c>
      <c r="D4" s="7" t="inlineStr">
        <is>
          <t>Description</t>
        </is>
      </c>
      <c r="E4" s="7" t="inlineStr">
        <is>
          <t>Station</t>
        </is>
      </c>
      <c r="F4" s="7" t="inlineStr">
        <is>
          <t>Railway</t>
        </is>
      </c>
      <c r="G4" s="7" t="inlineStr">
        <is>
          <t>Trigger activity ID</t>
        </is>
      </c>
      <c r="H4" s="7" t="inlineStr">
        <is>
          <t>Trigger activity</t>
        </is>
      </c>
      <c r="I4" s="7" t="inlineStr">
        <is>
          <t>Invoice amount (SAR)</t>
        </is>
      </c>
      <c r="J4" s="7" t="inlineStr">
        <is>
          <t>Cumulative (SAR)</t>
        </is>
      </c>
      <c r="K4" s="7" t="inlineStr">
        <is>
          <t>Cumulative %</t>
        </is>
      </c>
    </row>
    <row r="5">
      <c r="A5" s="24" t="n">
        <v>46357</v>
      </c>
      <c r="B5" s="25" t="n">
        <v>46369</v>
      </c>
      <c r="C5" s="8" t="inlineStr">
        <is>
          <t>MS1</t>
        </is>
      </c>
      <c r="D5" s="8" t="inlineStr">
        <is>
          <t>Mobilization</t>
        </is>
      </c>
      <c r="E5" s="8" t="inlineStr">
        <is>
          <t>All stations</t>
        </is>
      </c>
      <c r="F5" s="8" t="inlineStr">
        <is>
          <t>Project</t>
        </is>
      </c>
      <c r="G5" s="8" t="inlineStr">
        <is>
          <t>PRJ-M1100</t>
        </is>
      </c>
      <c r="H5" s="8" t="inlineStr">
        <is>
          <t>MS1 Mobilization complete (payment milestone 20%)</t>
        </is>
      </c>
      <c r="I5" s="9">
        <f>Payment_Milestones!D5</f>
        <v/>
      </c>
      <c r="J5" s="9">
        <f>SUM(I$5:I5)</f>
        <v/>
      </c>
      <c r="K5" s="23">
        <f>J5/62000000</f>
        <v/>
      </c>
    </row>
    <row r="6">
      <c r="A6" s="24" t="n">
        <v>46478</v>
      </c>
      <c r="B6" s="25" t="n">
        <v>46488</v>
      </c>
      <c r="C6" s="8" t="inlineStr">
        <is>
          <t>MS2</t>
        </is>
      </c>
      <c r="D6" s="8" t="inlineStr">
        <is>
          <t>Engineering submittal</t>
        </is>
      </c>
      <c r="E6" s="8" t="inlineStr">
        <is>
          <t>Riyadh (Thumamah) (NRY)</t>
        </is>
      </c>
      <c r="F6" s="8" t="inlineStr">
        <is>
          <t>NSR</t>
        </is>
      </c>
      <c r="G6" s="8" t="inlineStr">
        <is>
          <t>NRY-E1200</t>
        </is>
      </c>
      <c r="H6" s="8" t="inlineStr">
        <is>
          <t>MS2 Engineering submittal complete (10%) - Riyadh (Thumamah)</t>
        </is>
      </c>
      <c r="I6" s="9">
        <f>Payment_Milestones!C16</f>
        <v/>
      </c>
      <c r="J6" s="9">
        <f>SUM(I$5:I6)</f>
        <v/>
      </c>
      <c r="K6" s="23">
        <f>J6/62000000</f>
        <v/>
      </c>
    </row>
    <row r="7">
      <c r="A7" s="24" t="n">
        <v>46478</v>
      </c>
      <c r="B7" s="25" t="n">
        <v>46488</v>
      </c>
      <c r="C7" s="8" t="inlineStr">
        <is>
          <t>MS2</t>
        </is>
      </c>
      <c r="D7" s="8" t="inlineStr">
        <is>
          <t>Engineering submittal</t>
        </is>
      </c>
      <c r="E7" s="8" t="inlineStr">
        <is>
          <t>Makkah (HMK)</t>
        </is>
      </c>
      <c r="F7" s="8" t="inlineStr">
        <is>
          <t>HHR</t>
        </is>
      </c>
      <c r="G7" s="8" t="inlineStr">
        <is>
          <t>HMK-E1200</t>
        </is>
      </c>
      <c r="H7" s="8" t="inlineStr">
        <is>
          <t>MS2 Engineering submittal complete (10%) - Makkah</t>
        </is>
      </c>
      <c r="I7" s="9">
        <f>Payment_Milestones!C17</f>
        <v/>
      </c>
      <c r="J7" s="9">
        <f>SUM(I$5:I7)</f>
        <v/>
      </c>
      <c r="K7" s="23">
        <f>J7/62000000</f>
        <v/>
      </c>
    </row>
    <row r="8">
      <c r="A8" s="24" t="n">
        <v>46478</v>
      </c>
      <c r="B8" s="25" t="n">
        <v>46488</v>
      </c>
      <c r="C8" s="8" t="inlineStr">
        <is>
          <t>MS2</t>
        </is>
      </c>
      <c r="D8" s="8" t="inlineStr">
        <is>
          <t>Engineering submittal</t>
        </is>
      </c>
      <c r="E8" s="8" t="inlineStr">
        <is>
          <t>Riyadh (Malaz) (ERY)</t>
        </is>
      </c>
      <c r="F8" s="8" t="inlineStr">
        <is>
          <t>EWR</t>
        </is>
      </c>
      <c r="G8" s="8" t="inlineStr">
        <is>
          <t>ERY-E1200</t>
        </is>
      </c>
      <c r="H8" s="8" t="inlineStr">
        <is>
          <t>MS2 Engineering submittal complete (10%) - Riyadh (Malaz)</t>
        </is>
      </c>
      <c r="I8" s="9">
        <f>Payment_Milestones!C18</f>
        <v/>
      </c>
      <c r="J8" s="9">
        <f>SUM(I$5:I8)</f>
        <v/>
      </c>
      <c r="K8" s="23">
        <f>J8/62000000</f>
        <v/>
      </c>
    </row>
    <row r="9">
      <c r="A9" s="24" t="n">
        <v>46508</v>
      </c>
      <c r="B9" s="25" t="n">
        <v>46509</v>
      </c>
      <c r="C9" s="8" t="inlineStr">
        <is>
          <t>MS3</t>
        </is>
      </c>
      <c r="D9" s="8" t="inlineStr">
        <is>
          <t>SAR approval of engineering</t>
        </is>
      </c>
      <c r="E9" s="8" t="inlineStr">
        <is>
          <t>Riyadh (Thumamah) (NRY)</t>
        </is>
      </c>
      <c r="F9" s="8" t="inlineStr">
        <is>
          <t>NSR</t>
        </is>
      </c>
      <c r="G9" s="8" t="inlineStr">
        <is>
          <t>NRY-E1210</t>
        </is>
      </c>
      <c r="H9" s="8" t="inlineStr">
        <is>
          <t>MS3 Engineering approved by SAR (10%) - Riyadh (Thumamah)</t>
        </is>
      </c>
      <c r="I9" s="9">
        <f>Payment_Milestones!D16</f>
        <v/>
      </c>
      <c r="J9" s="9">
        <f>SUM(I$5:I9)</f>
        <v/>
      </c>
      <c r="K9" s="23">
        <f>J9/62000000</f>
        <v/>
      </c>
    </row>
    <row r="10">
      <c r="A10" s="24" t="n">
        <v>46508</v>
      </c>
      <c r="B10" s="25" t="n">
        <v>46509</v>
      </c>
      <c r="C10" s="8" t="inlineStr">
        <is>
          <t>MS3</t>
        </is>
      </c>
      <c r="D10" s="8" t="inlineStr">
        <is>
          <t>SAR approval of engineering</t>
        </is>
      </c>
      <c r="E10" s="8" t="inlineStr">
        <is>
          <t>Makkah (HMK)</t>
        </is>
      </c>
      <c r="F10" s="8" t="inlineStr">
        <is>
          <t>HHR</t>
        </is>
      </c>
      <c r="G10" s="8" t="inlineStr">
        <is>
          <t>HMK-E1210</t>
        </is>
      </c>
      <c r="H10" s="8" t="inlineStr">
        <is>
          <t>MS3 Engineering approved by SAR (10%) - Makkah</t>
        </is>
      </c>
      <c r="I10" s="9">
        <f>Payment_Milestones!D17</f>
        <v/>
      </c>
      <c r="J10" s="9">
        <f>SUM(I$5:I10)</f>
        <v/>
      </c>
      <c r="K10" s="23">
        <f>J10/62000000</f>
        <v/>
      </c>
    </row>
    <row r="11">
      <c r="A11" s="24" t="n">
        <v>46508</v>
      </c>
      <c r="B11" s="25" t="n">
        <v>46509</v>
      </c>
      <c r="C11" s="8" t="inlineStr">
        <is>
          <t>MS3</t>
        </is>
      </c>
      <c r="D11" s="8" t="inlineStr">
        <is>
          <t>SAR approval of engineering</t>
        </is>
      </c>
      <c r="E11" s="8" t="inlineStr">
        <is>
          <t>Riyadh (Malaz) (ERY)</t>
        </is>
      </c>
      <c r="F11" s="8" t="inlineStr">
        <is>
          <t>EWR</t>
        </is>
      </c>
      <c r="G11" s="8" t="inlineStr">
        <is>
          <t>ERY-E1210</t>
        </is>
      </c>
      <c r="H11" s="8" t="inlineStr">
        <is>
          <t>MS3 Engineering approved by SAR (10%) - Riyadh (Malaz)</t>
        </is>
      </c>
      <c r="I11" s="9">
        <f>Payment_Milestones!D18</f>
        <v/>
      </c>
      <c r="J11" s="9">
        <f>SUM(I$5:I11)</f>
        <v/>
      </c>
      <c r="K11" s="23">
        <f>J11/62000000</f>
        <v/>
      </c>
    </row>
    <row r="12">
      <c r="A12" s="24" t="n">
        <v>46539</v>
      </c>
      <c r="B12" s="25" t="n">
        <v>46544</v>
      </c>
      <c r="C12" s="8" t="inlineStr">
        <is>
          <t>MS2</t>
        </is>
      </c>
      <c r="D12" s="8" t="inlineStr">
        <is>
          <t>Engineering submittal</t>
        </is>
      </c>
      <c r="E12" s="8" t="inlineStr">
        <is>
          <t>Jeddah (HJD)</t>
        </is>
      </c>
      <c r="F12" s="8" t="inlineStr">
        <is>
          <t>HHR</t>
        </is>
      </c>
      <c r="G12" s="8" t="inlineStr">
        <is>
          <t>HJD-E1200</t>
        </is>
      </c>
      <c r="H12" s="8" t="inlineStr">
        <is>
          <t>MS2 Engineering submittal complete (10%) - Jeddah</t>
        </is>
      </c>
      <c r="I12" s="9">
        <f>Payment_Milestones!C19</f>
        <v/>
      </c>
      <c r="J12" s="9">
        <f>SUM(I$5:I12)</f>
        <v/>
      </c>
      <c r="K12" s="23">
        <f>J12/62000000</f>
        <v/>
      </c>
    </row>
    <row r="13">
      <c r="A13" s="24" t="n">
        <v>46539</v>
      </c>
      <c r="B13" s="25" t="n">
        <v>46565</v>
      </c>
      <c r="C13" s="8" t="inlineStr">
        <is>
          <t>MS3</t>
        </is>
      </c>
      <c r="D13" s="8" t="inlineStr">
        <is>
          <t>SAR approval of engineering</t>
        </is>
      </c>
      <c r="E13" s="8" t="inlineStr">
        <is>
          <t>Jeddah (HJD)</t>
        </is>
      </c>
      <c r="F13" s="8" t="inlineStr">
        <is>
          <t>HHR</t>
        </is>
      </c>
      <c r="G13" s="8" t="inlineStr">
        <is>
          <t>HJD-E1210</t>
        </is>
      </c>
      <c r="H13" s="8" t="inlineStr">
        <is>
          <t>MS3 Engineering approved by SAR (10%) - Jeddah</t>
        </is>
      </c>
      <c r="I13" s="9">
        <f>Payment_Milestones!D19</f>
        <v/>
      </c>
      <c r="J13" s="9">
        <f>SUM(I$5:I13)</f>
        <v/>
      </c>
      <c r="K13" s="23">
        <f>J13/62000000</f>
        <v/>
      </c>
    </row>
    <row r="14">
      <c r="A14" s="24" t="n">
        <v>46600</v>
      </c>
      <c r="B14" s="25" t="n">
        <v>46624</v>
      </c>
      <c r="C14" s="8" t="inlineStr">
        <is>
          <t>MS4</t>
        </is>
      </c>
      <c r="D14" s="8" t="inlineStr">
        <is>
          <t>Material delivery</t>
        </is>
      </c>
      <c r="E14" s="8" t="inlineStr">
        <is>
          <t>Riyadh (Malaz) (ERY)</t>
        </is>
      </c>
      <c r="F14" s="8" t="inlineStr">
        <is>
          <t>EWR</t>
        </is>
      </c>
      <c r="G14" s="8" t="inlineStr">
        <is>
          <t>ERY-P1100</t>
        </is>
      </c>
      <c r="H14" s="8" t="inlineStr">
        <is>
          <t>MS4 Material delivered (20%) - Riyadh (Malaz)</t>
        </is>
      </c>
      <c r="I14" s="9">
        <f>Payment_Milestones!E18</f>
        <v/>
      </c>
      <c r="J14" s="9">
        <f>SUM(I$5:I14)</f>
        <v/>
      </c>
      <c r="K14" s="23">
        <f>J14/62000000</f>
        <v/>
      </c>
    </row>
    <row r="15">
      <c r="A15" s="24" t="n">
        <v>46631</v>
      </c>
      <c r="B15" s="25" t="n">
        <v>46632</v>
      </c>
      <c r="C15" s="8" t="inlineStr">
        <is>
          <t>MS4</t>
        </is>
      </c>
      <c r="D15" s="8" t="inlineStr">
        <is>
          <t>Material delivery</t>
        </is>
      </c>
      <c r="E15" s="8" t="inlineStr">
        <is>
          <t>Riyadh (Thumamah) (NRY)</t>
        </is>
      </c>
      <c r="F15" s="8" t="inlineStr">
        <is>
          <t>NSR</t>
        </is>
      </c>
      <c r="G15" s="8" t="inlineStr">
        <is>
          <t>NRY-P1100</t>
        </is>
      </c>
      <c r="H15" s="8" t="inlineStr">
        <is>
          <t>MS4 Material delivered (20%) - Riyadh (Thumamah)</t>
        </is>
      </c>
      <c r="I15" s="9">
        <f>Payment_Milestones!E16</f>
        <v/>
      </c>
      <c r="J15" s="9">
        <f>SUM(I$5:I15)</f>
        <v/>
      </c>
      <c r="K15" s="23">
        <f>J15/62000000</f>
        <v/>
      </c>
    </row>
    <row r="16">
      <c r="A16" s="24" t="n">
        <v>46631</v>
      </c>
      <c r="B16" s="25" t="n">
        <v>46651</v>
      </c>
      <c r="C16" s="8" t="inlineStr">
        <is>
          <t>MS2</t>
        </is>
      </c>
      <c r="D16" s="8" t="inlineStr">
        <is>
          <t>Engineering submittal</t>
        </is>
      </c>
      <c r="E16" s="8" t="inlineStr">
        <is>
          <t>Dammam (EDM)</t>
        </is>
      </c>
      <c r="F16" s="8" t="inlineStr">
        <is>
          <t>EWR</t>
        </is>
      </c>
      <c r="G16" s="8" t="inlineStr">
        <is>
          <t>EDM-E1200</t>
        </is>
      </c>
      <c r="H16" s="8" t="inlineStr">
        <is>
          <t>MS2 Engineering submittal complete (10%) - Dammam</t>
        </is>
      </c>
      <c r="I16" s="9">
        <f>Payment_Milestones!C20</f>
        <v/>
      </c>
      <c r="J16" s="9">
        <f>SUM(I$5:I16)</f>
        <v/>
      </c>
      <c r="K16" s="23">
        <f>J16/62000000</f>
        <v/>
      </c>
    </row>
    <row r="17">
      <c r="A17" s="24" t="n">
        <v>46661</v>
      </c>
      <c r="B17" s="25" t="n">
        <v>46673</v>
      </c>
      <c r="C17" s="8" t="inlineStr">
        <is>
          <t>MS3</t>
        </is>
      </c>
      <c r="D17" s="8" t="inlineStr">
        <is>
          <t>SAR approval of engineering</t>
        </is>
      </c>
      <c r="E17" s="8" t="inlineStr">
        <is>
          <t>Dammam (EDM)</t>
        </is>
      </c>
      <c r="F17" s="8" t="inlineStr">
        <is>
          <t>EWR</t>
        </is>
      </c>
      <c r="G17" s="8" t="inlineStr">
        <is>
          <t>EDM-E1210</t>
        </is>
      </c>
      <c r="H17" s="8" t="inlineStr">
        <is>
          <t>MS3 Engineering approved by SAR (10%) - Dammam</t>
        </is>
      </c>
      <c r="I17" s="9">
        <f>Payment_Milestones!D20</f>
        <v/>
      </c>
      <c r="J17" s="9">
        <f>SUM(I$5:I17)</f>
        <v/>
      </c>
      <c r="K17" s="23">
        <f>J17/62000000</f>
        <v/>
      </c>
    </row>
    <row r="18">
      <c r="A18" s="24" t="n">
        <v>46661</v>
      </c>
      <c r="B18" s="25" t="n">
        <v>46679</v>
      </c>
      <c r="C18" s="8" t="inlineStr">
        <is>
          <t>MS5</t>
        </is>
      </c>
      <c r="D18" s="8" t="inlineStr">
        <is>
          <t>Installation</t>
        </is>
      </c>
      <c r="E18" s="8" t="inlineStr">
        <is>
          <t>Riyadh (Malaz) (ERY)</t>
        </is>
      </c>
      <c r="F18" s="8" t="inlineStr">
        <is>
          <t>EWR</t>
        </is>
      </c>
      <c r="G18" s="8" t="inlineStr">
        <is>
          <t>ERY-C2100</t>
        </is>
      </c>
      <c r="H18" s="8" t="inlineStr">
        <is>
          <t>MS5 Installation complete (20%) - Riyadh (Malaz)</t>
        </is>
      </c>
      <c r="I18" s="9">
        <f>Payment_Milestones!F18</f>
        <v/>
      </c>
      <c r="J18" s="9">
        <f>SUM(I$5:I18)</f>
        <v/>
      </c>
      <c r="K18" s="23">
        <f>J18/62000000</f>
        <v/>
      </c>
    </row>
    <row r="19">
      <c r="A19" s="24" t="n">
        <v>46692</v>
      </c>
      <c r="B19" s="25" t="n">
        <v>46695</v>
      </c>
      <c r="C19" s="8" t="inlineStr">
        <is>
          <t>MS5</t>
        </is>
      </c>
      <c r="D19" s="8" t="inlineStr">
        <is>
          <t>Installation</t>
        </is>
      </c>
      <c r="E19" s="8" t="inlineStr">
        <is>
          <t>Riyadh (Thumamah) (NRY)</t>
        </is>
      </c>
      <c r="F19" s="8" t="inlineStr">
        <is>
          <t>NSR</t>
        </is>
      </c>
      <c r="G19" s="8" t="inlineStr">
        <is>
          <t>NRY-C2100</t>
        </is>
      </c>
      <c r="H19" s="8" t="inlineStr">
        <is>
          <t>MS5 Installation complete (20%) - Riyadh (Thumamah)</t>
        </is>
      </c>
      <c r="I19" s="9">
        <f>Payment_Milestones!F16</f>
        <v/>
      </c>
      <c r="J19" s="9">
        <f>SUM(I$5:I19)</f>
        <v/>
      </c>
      <c r="K19" s="23">
        <f>J19/62000000</f>
        <v/>
      </c>
    </row>
    <row r="20">
      <c r="A20" s="24" t="n">
        <v>46692</v>
      </c>
      <c r="B20" s="25" t="n">
        <v>46695</v>
      </c>
      <c r="C20" s="8" t="inlineStr">
        <is>
          <t>MS6</t>
        </is>
      </c>
      <c r="D20" s="8" t="inlineStr">
        <is>
          <t>Testing and commissioning (SAT)</t>
        </is>
      </c>
      <c r="E20" s="8" t="inlineStr">
        <is>
          <t>Riyadh (Malaz) (ERY)</t>
        </is>
      </c>
      <c r="F20" s="8" t="inlineStr">
        <is>
          <t>EWR</t>
        </is>
      </c>
      <c r="G20" s="8" t="inlineStr">
        <is>
          <t>ERY-T1100</t>
        </is>
      </c>
      <c r="H20" s="8" t="inlineStr">
        <is>
          <t>MS6 SAT complete (10%) - Riyadh (Malaz)</t>
        </is>
      </c>
      <c r="I20" s="9">
        <f>Payment_Milestones!G18</f>
        <v/>
      </c>
      <c r="J20" s="9">
        <f>SUM(I$5:I20)</f>
        <v/>
      </c>
      <c r="K20" s="23">
        <f>J20/62000000</f>
        <v/>
      </c>
    </row>
    <row r="21">
      <c r="A21" s="24" t="n">
        <v>46692</v>
      </c>
      <c r="B21" s="25" t="n">
        <v>46700</v>
      </c>
      <c r="C21" s="8" t="inlineStr">
        <is>
          <t>MS4</t>
        </is>
      </c>
      <c r="D21" s="8" t="inlineStr">
        <is>
          <t>Material delivery</t>
        </is>
      </c>
      <c r="E21" s="8" t="inlineStr">
        <is>
          <t>Makkah (HMK)</t>
        </is>
      </c>
      <c r="F21" s="8" t="inlineStr">
        <is>
          <t>HHR</t>
        </is>
      </c>
      <c r="G21" s="8" t="inlineStr">
        <is>
          <t>HMK-P1100</t>
        </is>
      </c>
      <c r="H21" s="8" t="inlineStr">
        <is>
          <t>MS4 Material delivered (20%) - Makkah</t>
        </is>
      </c>
      <c r="I21" s="9">
        <f>Payment_Milestones!E17</f>
        <v/>
      </c>
      <c r="J21" s="9">
        <f>SUM(I$5:I21)</f>
        <v/>
      </c>
      <c r="K21" s="23">
        <f>J21/62000000</f>
        <v/>
      </c>
    </row>
    <row r="22">
      <c r="A22" s="24" t="n">
        <v>46692</v>
      </c>
      <c r="B22" s="25" t="n">
        <v>46705</v>
      </c>
      <c r="C22" s="8" t="inlineStr">
        <is>
          <t>MS2</t>
        </is>
      </c>
      <c r="D22" s="8" t="inlineStr">
        <is>
          <t>Engineering submittal</t>
        </is>
      </c>
      <c r="E22" s="8" t="inlineStr">
        <is>
          <t>Al Qassim (NQS)</t>
        </is>
      </c>
      <c r="F22" s="8" t="inlineStr">
        <is>
          <t>NSR</t>
        </is>
      </c>
      <c r="G22" s="8" t="inlineStr">
        <is>
          <t>NQS-E1200</t>
        </is>
      </c>
      <c r="H22" s="8" t="inlineStr">
        <is>
          <t>MS2 Engineering submittal complete (10%) - Al Qassim</t>
        </is>
      </c>
      <c r="I22" s="9">
        <f>Payment_Milestones!C21</f>
        <v/>
      </c>
      <c r="J22" s="9">
        <f>SUM(I$5:I22)</f>
        <v/>
      </c>
      <c r="K22" s="23">
        <f>J22/62000000</f>
        <v/>
      </c>
    </row>
    <row r="23">
      <c r="A23" s="24" t="n">
        <v>46692</v>
      </c>
      <c r="B23" s="25" t="n">
        <v>46705</v>
      </c>
      <c r="C23" s="8" t="inlineStr">
        <is>
          <t>MS2</t>
        </is>
      </c>
      <c r="D23" s="8" t="inlineStr">
        <is>
          <t>Engineering submittal</t>
        </is>
      </c>
      <c r="E23" s="8" t="inlineStr">
        <is>
          <t>Hufuf (EHF)</t>
        </is>
      </c>
      <c r="F23" s="8" t="inlineStr">
        <is>
          <t>EWR</t>
        </is>
      </c>
      <c r="G23" s="8" t="inlineStr">
        <is>
          <t>EHF-E1200</t>
        </is>
      </c>
      <c r="H23" s="8" t="inlineStr">
        <is>
          <t>MS2 Engineering submittal complete (10%) - Hufuf</t>
        </is>
      </c>
      <c r="I23" s="9">
        <f>Payment_Milestones!C22</f>
        <v/>
      </c>
      <c r="J23" s="9">
        <f>SUM(I$5:I23)</f>
        <v/>
      </c>
      <c r="K23" s="23">
        <f>J23/62000000</f>
        <v/>
      </c>
    </row>
    <row r="24">
      <c r="A24" s="24" t="n">
        <v>46722</v>
      </c>
      <c r="B24" s="25" t="n">
        <v>46726</v>
      </c>
      <c r="C24" s="8" t="inlineStr">
        <is>
          <t>MS3</t>
        </is>
      </c>
      <c r="D24" s="8" t="inlineStr">
        <is>
          <t>SAR approval of engineering</t>
        </is>
      </c>
      <c r="E24" s="8" t="inlineStr">
        <is>
          <t>Al Qassim (NQS)</t>
        </is>
      </c>
      <c r="F24" s="8" t="inlineStr">
        <is>
          <t>NSR</t>
        </is>
      </c>
      <c r="G24" s="8" t="inlineStr">
        <is>
          <t>NQS-E1210</t>
        </is>
      </c>
      <c r="H24" s="8" t="inlineStr">
        <is>
          <t>MS3 Engineering approved by SAR (10%) - Al Qassim</t>
        </is>
      </c>
      <c r="I24" s="9">
        <f>Payment_Milestones!D21</f>
        <v/>
      </c>
      <c r="J24" s="9">
        <f>SUM(I$5:I24)</f>
        <v/>
      </c>
      <c r="K24" s="23">
        <f>J24/62000000</f>
        <v/>
      </c>
    </row>
    <row r="25">
      <c r="A25" s="24" t="n">
        <v>46722</v>
      </c>
      <c r="B25" s="25" t="n">
        <v>46726</v>
      </c>
      <c r="C25" s="8" t="inlineStr">
        <is>
          <t>MS3</t>
        </is>
      </c>
      <c r="D25" s="8" t="inlineStr">
        <is>
          <t>SAR approval of engineering</t>
        </is>
      </c>
      <c r="E25" s="8" t="inlineStr">
        <is>
          <t>Hufuf (EHF)</t>
        </is>
      </c>
      <c r="F25" s="8" t="inlineStr">
        <is>
          <t>EWR</t>
        </is>
      </c>
      <c r="G25" s="8" t="inlineStr">
        <is>
          <t>EHF-E1210</t>
        </is>
      </c>
      <c r="H25" s="8" t="inlineStr">
        <is>
          <t>MS3 Engineering approved by SAR (10%) - Hufuf</t>
        </is>
      </c>
      <c r="I25" s="9">
        <f>Payment_Milestones!D22</f>
        <v/>
      </c>
      <c r="J25" s="9">
        <f>SUM(I$5:I25)</f>
        <v/>
      </c>
      <c r="K25" s="23">
        <f>J25/62000000</f>
        <v/>
      </c>
    </row>
    <row r="26">
      <c r="A26" s="24" t="n">
        <v>46722</v>
      </c>
      <c r="B26" s="25" t="n">
        <v>46727</v>
      </c>
      <c r="C26" s="8" t="inlineStr">
        <is>
          <t>MS6</t>
        </is>
      </c>
      <c r="D26" s="8" t="inlineStr">
        <is>
          <t>Testing and commissioning (SAT)</t>
        </is>
      </c>
      <c r="E26" s="8" t="inlineStr">
        <is>
          <t>Riyadh (Thumamah) (NRY)</t>
        </is>
      </c>
      <c r="F26" s="8" t="inlineStr">
        <is>
          <t>NSR</t>
        </is>
      </c>
      <c r="G26" s="8" t="inlineStr">
        <is>
          <t>NRY-T1100</t>
        </is>
      </c>
      <c r="H26" s="8" t="inlineStr">
        <is>
          <t>MS6 SAT complete (10%) - Riyadh (Thumamah)</t>
        </is>
      </c>
      <c r="I26" s="9">
        <f>Payment_Milestones!G16</f>
        <v/>
      </c>
      <c r="J26" s="9">
        <f>SUM(I$5:I26)</f>
        <v/>
      </c>
      <c r="K26" s="23">
        <f>J26/62000000</f>
        <v/>
      </c>
    </row>
    <row r="27">
      <c r="A27" s="24" t="n">
        <v>46722</v>
      </c>
      <c r="B27" s="25" t="n">
        <v>46748</v>
      </c>
      <c r="C27" s="8" t="inlineStr">
        <is>
          <t>MS4</t>
        </is>
      </c>
      <c r="D27" s="8" t="inlineStr">
        <is>
          <t>Material delivery</t>
        </is>
      </c>
      <c r="E27" s="8" t="inlineStr">
        <is>
          <t>Jeddah (HJD)</t>
        </is>
      </c>
      <c r="F27" s="8" t="inlineStr">
        <is>
          <t>HHR</t>
        </is>
      </c>
      <c r="G27" s="8" t="inlineStr">
        <is>
          <t>HJD-P1100</t>
        </is>
      </c>
      <c r="H27" s="8" t="inlineStr">
        <is>
          <t>MS4 Material delivered (20%) - Jeddah</t>
        </is>
      </c>
      <c r="I27" s="9">
        <f>Payment_Milestones!E19</f>
        <v/>
      </c>
      <c r="J27" s="9">
        <f>SUM(I$5:I27)</f>
        <v/>
      </c>
      <c r="K27" s="23">
        <f>J27/62000000</f>
        <v/>
      </c>
    </row>
    <row r="28">
      <c r="A28" s="24" t="n">
        <v>46722</v>
      </c>
      <c r="B28" s="25" t="n">
        <v>46751</v>
      </c>
      <c r="C28" s="8" t="inlineStr">
        <is>
          <t>MS2</t>
        </is>
      </c>
      <c r="D28" s="8" t="inlineStr">
        <is>
          <t>Engineering submittal</t>
        </is>
      </c>
      <c r="E28" s="8" t="inlineStr">
        <is>
          <t>Al Majma'ah (NMJ)</t>
        </is>
      </c>
      <c r="F28" s="8" t="inlineStr">
        <is>
          <t>NSR</t>
        </is>
      </c>
      <c r="G28" s="8" t="inlineStr">
        <is>
          <t>NMJ-E1200</t>
        </is>
      </c>
      <c r="H28" s="8" t="inlineStr">
        <is>
          <t>MS2 Engineering submittal complete (10%) - Al Majma'ah</t>
        </is>
      </c>
      <c r="I28" s="9">
        <f>Payment_Milestones!C23</f>
        <v/>
      </c>
      <c r="J28" s="9">
        <f>SUM(I$5:I28)</f>
        <v/>
      </c>
      <c r="K28" s="23">
        <f>J28/62000000</f>
        <v/>
      </c>
    </row>
    <row r="29">
      <c r="A29" s="24" t="n">
        <v>46753</v>
      </c>
      <c r="B29" s="25" t="n">
        <v>46769</v>
      </c>
      <c r="C29" s="8" t="inlineStr">
        <is>
          <t>MS7</t>
        </is>
      </c>
      <c r="D29" s="8" t="inlineStr">
        <is>
          <t>Final acceptance and handover</t>
        </is>
      </c>
      <c r="E29" s="8" t="inlineStr">
        <is>
          <t>Riyadh (Malaz) (ERY)</t>
        </is>
      </c>
      <c r="F29" s="8" t="inlineStr">
        <is>
          <t>EWR</t>
        </is>
      </c>
      <c r="G29" s="8" t="inlineStr">
        <is>
          <t>ERY-T3100</t>
        </is>
      </c>
      <c r="H29" s="8" t="inlineStr">
        <is>
          <t>MS7 Station accepted - final acceptance and handover (10%) - Riyadh (Malaz)</t>
        </is>
      </c>
      <c r="I29" s="9">
        <f>Payment_Milestones!H18</f>
        <v/>
      </c>
      <c r="J29" s="9">
        <f>SUM(I$5:I29)</f>
        <v/>
      </c>
      <c r="K29" s="23">
        <f>J29/62000000</f>
        <v/>
      </c>
    </row>
    <row r="30">
      <c r="A30" s="24" t="n">
        <v>46753</v>
      </c>
      <c r="B30" s="25" t="n">
        <v>46772</v>
      </c>
      <c r="C30" s="8" t="inlineStr">
        <is>
          <t>MS3</t>
        </is>
      </c>
      <c r="D30" s="8" t="inlineStr">
        <is>
          <t>SAR approval of engineering</t>
        </is>
      </c>
      <c r="E30" s="8" t="inlineStr">
        <is>
          <t>Al Majma'ah (NMJ)</t>
        </is>
      </c>
      <c r="F30" s="8" t="inlineStr">
        <is>
          <t>NSR</t>
        </is>
      </c>
      <c r="G30" s="8" t="inlineStr">
        <is>
          <t>NMJ-E1210</t>
        </is>
      </c>
      <c r="H30" s="8" t="inlineStr">
        <is>
          <t>MS3 Engineering approved by SAR (10%) - Al Majma'ah</t>
        </is>
      </c>
      <c r="I30" s="9">
        <f>Payment_Milestones!D23</f>
        <v/>
      </c>
      <c r="J30" s="9">
        <f>SUM(I$5:I30)</f>
        <v/>
      </c>
      <c r="K30" s="23">
        <f>J30/62000000</f>
        <v/>
      </c>
    </row>
    <row r="31">
      <c r="A31" s="24" t="n">
        <v>46753</v>
      </c>
      <c r="B31" s="25" t="n">
        <v>46783</v>
      </c>
      <c r="C31" s="8" t="inlineStr">
        <is>
          <t>MS4</t>
        </is>
      </c>
      <c r="D31" s="8" t="inlineStr">
        <is>
          <t>Material delivery</t>
        </is>
      </c>
      <c r="E31" s="8" t="inlineStr">
        <is>
          <t>Dammam (EDM)</t>
        </is>
      </c>
      <c r="F31" s="8" t="inlineStr">
        <is>
          <t>EWR</t>
        </is>
      </c>
      <c r="G31" s="8" t="inlineStr">
        <is>
          <t>EDM-P1100</t>
        </is>
      </c>
      <c r="H31" s="8" t="inlineStr">
        <is>
          <t>MS4 Material delivered (20%) - Dammam</t>
        </is>
      </c>
      <c r="I31" s="9">
        <f>Payment_Milestones!E20</f>
        <v/>
      </c>
      <c r="J31" s="9">
        <f>SUM(I$5:I31)</f>
        <v/>
      </c>
      <c r="K31" s="23">
        <f>J31/62000000</f>
        <v/>
      </c>
    </row>
    <row r="32">
      <c r="A32" s="24" t="n">
        <v>46784</v>
      </c>
      <c r="B32" s="25" t="n">
        <v>46786</v>
      </c>
      <c r="C32" s="8" t="inlineStr">
        <is>
          <t>MS7</t>
        </is>
      </c>
      <c r="D32" s="8" t="inlineStr">
        <is>
          <t>Final acceptance and handover</t>
        </is>
      </c>
      <c r="E32" s="8" t="inlineStr">
        <is>
          <t>Riyadh (Thumamah) (NRY)</t>
        </is>
      </c>
      <c r="F32" s="8" t="inlineStr">
        <is>
          <t>NSR</t>
        </is>
      </c>
      <c r="G32" s="8" t="inlineStr">
        <is>
          <t>NRY-T3100</t>
        </is>
      </c>
      <c r="H32" s="8" t="inlineStr">
        <is>
          <t>MS7 Station accepted - final acceptance and handover (10%) - Riyadh (Thumamah)</t>
        </is>
      </c>
      <c r="I32" s="9">
        <f>Payment_Milestones!H16</f>
        <v/>
      </c>
      <c r="J32" s="9">
        <f>SUM(I$5:I32)</f>
        <v/>
      </c>
      <c r="K32" s="23">
        <f>J32/62000000</f>
        <v/>
      </c>
    </row>
    <row r="33">
      <c r="A33" s="24" t="n">
        <v>46813</v>
      </c>
      <c r="B33" s="25" t="n">
        <v>46820</v>
      </c>
      <c r="C33" s="8" t="inlineStr">
        <is>
          <t>MS5</t>
        </is>
      </c>
      <c r="D33" s="8" t="inlineStr">
        <is>
          <t>Installation</t>
        </is>
      </c>
      <c r="E33" s="8" t="inlineStr">
        <is>
          <t>Makkah (HMK)</t>
        </is>
      </c>
      <c r="F33" s="8" t="inlineStr">
        <is>
          <t>HHR</t>
        </is>
      </c>
      <c r="G33" s="8" t="inlineStr">
        <is>
          <t>HMK-C2100</t>
        </is>
      </c>
      <c r="H33" s="8" t="inlineStr">
        <is>
          <t>MS5 Installation complete (20%) - Makkah</t>
        </is>
      </c>
      <c r="I33" s="9">
        <f>Payment_Milestones!F17</f>
        <v/>
      </c>
      <c r="J33" s="9">
        <f>SUM(I$5:I33)</f>
        <v/>
      </c>
      <c r="K33" s="23">
        <f>J33/62000000</f>
        <v/>
      </c>
    </row>
    <row r="34">
      <c r="A34" s="24" t="n">
        <v>46813</v>
      </c>
      <c r="B34" s="25" t="n">
        <v>46839</v>
      </c>
      <c r="C34" s="8" t="inlineStr">
        <is>
          <t>MS4</t>
        </is>
      </c>
      <c r="D34" s="8" t="inlineStr">
        <is>
          <t>Material delivery</t>
        </is>
      </c>
      <c r="E34" s="8" t="inlineStr">
        <is>
          <t>Hufuf (EHF)</t>
        </is>
      </c>
      <c r="F34" s="8" t="inlineStr">
        <is>
          <t>EWR</t>
        </is>
      </c>
      <c r="G34" s="8" t="inlineStr">
        <is>
          <t>EHF-P1100</t>
        </is>
      </c>
      <c r="H34" s="8" t="inlineStr">
        <is>
          <t>MS4 Material delivered (20%) - Hufuf</t>
        </is>
      </c>
      <c r="I34" s="9">
        <f>Payment_Milestones!E22</f>
        <v/>
      </c>
      <c r="J34" s="9">
        <f>SUM(I$5:I34)</f>
        <v/>
      </c>
      <c r="K34" s="23">
        <f>J34/62000000</f>
        <v/>
      </c>
    </row>
    <row r="35">
      <c r="A35" s="24" t="n">
        <v>46813</v>
      </c>
      <c r="B35" s="25" t="n">
        <v>46842</v>
      </c>
      <c r="C35" s="8" t="inlineStr">
        <is>
          <t>MS5</t>
        </is>
      </c>
      <c r="D35" s="8" t="inlineStr">
        <is>
          <t>Installation</t>
        </is>
      </c>
      <c r="E35" s="8" t="inlineStr">
        <is>
          <t>Dammam (EDM)</t>
        </is>
      </c>
      <c r="F35" s="8" t="inlineStr">
        <is>
          <t>EWR</t>
        </is>
      </c>
      <c r="G35" s="8" t="inlineStr">
        <is>
          <t>EDM-C2100</t>
        </is>
      </c>
      <c r="H35" s="8" t="inlineStr">
        <is>
          <t>MS5 Installation complete (20%) - Dammam</t>
        </is>
      </c>
      <c r="I35" s="9">
        <f>Payment_Milestones!F20</f>
        <v/>
      </c>
      <c r="J35" s="9">
        <f>SUM(I$5:I35)</f>
        <v/>
      </c>
      <c r="K35" s="23">
        <f>J35/62000000</f>
        <v/>
      </c>
    </row>
    <row r="36">
      <c r="A36" s="24" t="n">
        <v>46844</v>
      </c>
      <c r="B36" s="25" t="n">
        <v>46849</v>
      </c>
      <c r="C36" s="8" t="inlineStr">
        <is>
          <t>MS4</t>
        </is>
      </c>
      <c r="D36" s="8" t="inlineStr">
        <is>
          <t>Material delivery</t>
        </is>
      </c>
      <c r="E36" s="8" t="inlineStr">
        <is>
          <t>Al Qassim (NQS)</t>
        </is>
      </c>
      <c r="F36" s="8" t="inlineStr">
        <is>
          <t>NSR</t>
        </is>
      </c>
      <c r="G36" s="8" t="inlineStr">
        <is>
          <t>NQS-P1100</t>
        </is>
      </c>
      <c r="H36" s="8" t="inlineStr">
        <is>
          <t>MS4 Material delivered (20%) - Al Qassim</t>
        </is>
      </c>
      <c r="I36" s="9">
        <f>Payment_Milestones!E21</f>
        <v/>
      </c>
      <c r="J36" s="9">
        <f>SUM(I$5:I36)</f>
        <v/>
      </c>
      <c r="K36" s="23">
        <f>J36/62000000</f>
        <v/>
      </c>
    </row>
    <row r="37">
      <c r="A37" s="24" t="n">
        <v>46844</v>
      </c>
      <c r="B37" s="25" t="n">
        <v>46849</v>
      </c>
      <c r="C37" s="8" t="inlineStr">
        <is>
          <t>MS5</t>
        </is>
      </c>
      <c r="D37" s="8" t="inlineStr">
        <is>
          <t>Installation</t>
        </is>
      </c>
      <c r="E37" s="8" t="inlineStr">
        <is>
          <t>Jeddah (HJD)</t>
        </is>
      </c>
      <c r="F37" s="8" t="inlineStr">
        <is>
          <t>HHR</t>
        </is>
      </c>
      <c r="G37" s="8" t="inlineStr">
        <is>
          <t>HJD-C2100</t>
        </is>
      </c>
      <c r="H37" s="8" t="inlineStr">
        <is>
          <t>MS5 Installation complete (20%) - Jeddah</t>
        </is>
      </c>
      <c r="I37" s="9">
        <f>Payment_Milestones!F19</f>
        <v/>
      </c>
      <c r="J37" s="9">
        <f>SUM(I$5:I37)</f>
        <v/>
      </c>
      <c r="K37" s="23">
        <f>J37/62000000</f>
        <v/>
      </c>
    </row>
    <row r="38">
      <c r="A38" s="24" t="n">
        <v>46844</v>
      </c>
      <c r="B38" s="25" t="n">
        <v>46860</v>
      </c>
      <c r="C38" s="8" t="inlineStr">
        <is>
          <t>MS6</t>
        </is>
      </c>
      <c r="D38" s="8" t="inlineStr">
        <is>
          <t>Testing and commissioning (SAT)</t>
        </is>
      </c>
      <c r="E38" s="8" t="inlineStr">
        <is>
          <t>Dammam (EDM)</t>
        </is>
      </c>
      <c r="F38" s="8" t="inlineStr">
        <is>
          <t>EWR</t>
        </is>
      </c>
      <c r="G38" s="8" t="inlineStr">
        <is>
          <t>EDM-T1100</t>
        </is>
      </c>
      <c r="H38" s="8" t="inlineStr">
        <is>
          <t>MS6 SAT complete (10%) - Dammam</t>
        </is>
      </c>
      <c r="I38" s="9">
        <f>Payment_Milestones!G20</f>
        <v/>
      </c>
      <c r="J38" s="9">
        <f>SUM(I$5:I38)</f>
        <v/>
      </c>
      <c r="K38" s="23">
        <f>J38/62000000</f>
        <v/>
      </c>
    </row>
    <row r="39">
      <c r="A39" s="24" t="n">
        <v>46844</v>
      </c>
      <c r="B39" s="25" t="n">
        <v>46861</v>
      </c>
      <c r="C39" s="8" t="inlineStr">
        <is>
          <t>MS2</t>
        </is>
      </c>
      <c r="D39" s="8" t="inlineStr">
        <is>
          <t>Engineering submittal</t>
        </is>
      </c>
      <c r="E39" s="8" t="inlineStr">
        <is>
          <t>KAEC (HKA)</t>
        </is>
      </c>
      <c r="F39" s="8" t="inlineStr">
        <is>
          <t>HHR</t>
        </is>
      </c>
      <c r="G39" s="8" t="inlineStr">
        <is>
          <t>HKA-E1200</t>
        </is>
      </c>
      <c r="H39" s="8" t="inlineStr">
        <is>
          <t>MS2 Engineering submittal complete (10%) - KAEC</t>
        </is>
      </c>
      <c r="I39" s="9">
        <f>Payment_Milestones!C24</f>
        <v/>
      </c>
      <c r="J39" s="9">
        <f>SUM(I$5:I39)</f>
        <v/>
      </c>
      <c r="K39" s="23">
        <f>J39/62000000</f>
        <v/>
      </c>
    </row>
    <row r="40">
      <c r="A40" s="24" t="n">
        <v>46844</v>
      </c>
      <c r="B40" s="25" t="n">
        <v>46861</v>
      </c>
      <c r="C40" s="8" t="inlineStr">
        <is>
          <t>MS2</t>
        </is>
      </c>
      <c r="D40" s="8" t="inlineStr">
        <is>
          <t>Engineering submittal</t>
        </is>
      </c>
      <c r="E40" s="8" t="inlineStr">
        <is>
          <t>Madinah (HMD)</t>
        </is>
      </c>
      <c r="F40" s="8" t="inlineStr">
        <is>
          <t>HHR</t>
        </is>
      </c>
      <c r="G40" s="8" t="inlineStr">
        <is>
          <t>HMD-E1200</t>
        </is>
      </c>
      <c r="H40" s="8" t="inlineStr">
        <is>
          <t>MS2 Engineering submittal complete (10%) - Madinah</t>
        </is>
      </c>
      <c r="I40" s="9">
        <f>Payment_Milestones!C25</f>
        <v/>
      </c>
      <c r="J40" s="9">
        <f>SUM(I$5:I40)</f>
        <v/>
      </c>
      <c r="K40" s="23">
        <f>J40/62000000</f>
        <v/>
      </c>
    </row>
    <row r="41">
      <c r="A41" s="24" t="n">
        <v>46844</v>
      </c>
      <c r="B41" s="25" t="n">
        <v>46862</v>
      </c>
      <c r="C41" s="8" t="inlineStr">
        <is>
          <t>MS6</t>
        </is>
      </c>
      <c r="D41" s="8" t="inlineStr">
        <is>
          <t>Testing and commissioning (SAT)</t>
        </is>
      </c>
      <c r="E41" s="8" t="inlineStr">
        <is>
          <t>Makkah (HMK)</t>
        </is>
      </c>
      <c r="F41" s="8" t="inlineStr">
        <is>
          <t>HHR</t>
        </is>
      </c>
      <c r="G41" s="8" t="inlineStr">
        <is>
          <t>HMK-T1100</t>
        </is>
      </c>
      <c r="H41" s="8" t="inlineStr">
        <is>
          <t>MS6 SAT complete (10%) - Makkah</t>
        </is>
      </c>
      <c r="I41" s="9">
        <f>Payment_Milestones!G17</f>
        <v/>
      </c>
      <c r="J41" s="9">
        <f>SUM(I$5:I41)</f>
        <v/>
      </c>
      <c r="K41" s="23">
        <f>J41/62000000</f>
        <v/>
      </c>
    </row>
    <row r="42">
      <c r="A42" s="24" t="n">
        <v>46874</v>
      </c>
      <c r="B42" s="25" t="n">
        <v>46889</v>
      </c>
      <c r="C42" s="8" t="inlineStr">
        <is>
          <t>MS3</t>
        </is>
      </c>
      <c r="D42" s="8" t="inlineStr">
        <is>
          <t>SAR approval of engineering</t>
        </is>
      </c>
      <c r="E42" s="8" t="inlineStr">
        <is>
          <t>KAEC (HKA)</t>
        </is>
      </c>
      <c r="F42" s="8" t="inlineStr">
        <is>
          <t>HHR</t>
        </is>
      </c>
      <c r="G42" s="8" t="inlineStr">
        <is>
          <t>HKA-E1210</t>
        </is>
      </c>
      <c r="H42" s="8" t="inlineStr">
        <is>
          <t>MS3 Engineering approved by SAR (10%) - KAEC</t>
        </is>
      </c>
      <c r="I42" s="9">
        <f>Payment_Milestones!D24</f>
        <v/>
      </c>
      <c r="J42" s="9">
        <f>SUM(I$5:I42)</f>
        <v/>
      </c>
      <c r="K42" s="23">
        <f>J42/62000000</f>
        <v/>
      </c>
    </row>
    <row r="43">
      <c r="A43" s="24" t="n">
        <v>46874</v>
      </c>
      <c r="B43" s="25" t="n">
        <v>46889</v>
      </c>
      <c r="C43" s="8" t="inlineStr">
        <is>
          <t>MS3</t>
        </is>
      </c>
      <c r="D43" s="8" t="inlineStr">
        <is>
          <t>SAR approval of engineering</t>
        </is>
      </c>
      <c r="E43" s="8" t="inlineStr">
        <is>
          <t>Madinah (HMD)</t>
        </is>
      </c>
      <c r="F43" s="8" t="inlineStr">
        <is>
          <t>HHR</t>
        </is>
      </c>
      <c r="G43" s="8" t="inlineStr">
        <is>
          <t>HMD-E1210</t>
        </is>
      </c>
      <c r="H43" s="8" t="inlineStr">
        <is>
          <t>MS3 Engineering approved by SAR (10%) - Madinah</t>
        </is>
      </c>
      <c r="I43" s="9">
        <f>Payment_Milestones!D25</f>
        <v/>
      </c>
      <c r="J43" s="9">
        <f>SUM(I$5:I43)</f>
        <v/>
      </c>
      <c r="K43" s="23">
        <f>J43/62000000</f>
        <v/>
      </c>
    </row>
    <row r="44">
      <c r="A44" s="24" t="n">
        <v>46874</v>
      </c>
      <c r="B44" s="25" t="n">
        <v>46894</v>
      </c>
      <c r="C44" s="8" t="inlineStr">
        <is>
          <t>MS6</t>
        </is>
      </c>
      <c r="D44" s="8" t="inlineStr">
        <is>
          <t>Testing and commissioning (SAT)</t>
        </is>
      </c>
      <c r="E44" s="8" t="inlineStr">
        <is>
          <t>Jeddah (HJD)</t>
        </is>
      </c>
      <c r="F44" s="8" t="inlineStr">
        <is>
          <t>HHR</t>
        </is>
      </c>
      <c r="G44" s="8" t="inlineStr">
        <is>
          <t>HJD-T1100</t>
        </is>
      </c>
      <c r="H44" s="8" t="inlineStr">
        <is>
          <t>MS6 SAT complete (10%) - Jeddah</t>
        </is>
      </c>
      <c r="I44" s="9">
        <f>Payment_Milestones!G19</f>
        <v/>
      </c>
      <c r="J44" s="9">
        <f>SUM(I$5:I44)</f>
        <v/>
      </c>
      <c r="K44" s="23">
        <f>J44/62000000</f>
        <v/>
      </c>
    </row>
    <row r="45">
      <c r="A45" s="24" t="n">
        <v>46874</v>
      </c>
      <c r="B45" s="25" t="n">
        <v>46896</v>
      </c>
      <c r="C45" s="8" t="inlineStr">
        <is>
          <t>MS5</t>
        </is>
      </c>
      <c r="D45" s="8" t="inlineStr">
        <is>
          <t>Installation</t>
        </is>
      </c>
      <c r="E45" s="8" t="inlineStr">
        <is>
          <t>Hufuf (EHF)</t>
        </is>
      </c>
      <c r="F45" s="8" t="inlineStr">
        <is>
          <t>EWR</t>
        </is>
      </c>
      <c r="G45" s="8" t="inlineStr">
        <is>
          <t>EHF-C2100</t>
        </is>
      </c>
      <c r="H45" s="8" t="inlineStr">
        <is>
          <t>MS5 Installation complete (20%) - Hufuf</t>
        </is>
      </c>
      <c r="I45" s="9">
        <f>Payment_Milestones!F22</f>
        <v/>
      </c>
      <c r="J45" s="9">
        <f>SUM(I$5:I45)</f>
        <v/>
      </c>
      <c r="K45" s="23">
        <f>J45/62000000</f>
        <v/>
      </c>
    </row>
    <row r="46">
      <c r="A46" s="24" t="n">
        <v>46874</v>
      </c>
      <c r="B46" s="25" t="n">
        <v>46904</v>
      </c>
      <c r="C46" s="8" t="inlineStr">
        <is>
          <t>MS4</t>
        </is>
      </c>
      <c r="D46" s="8" t="inlineStr">
        <is>
          <t>Material delivery</t>
        </is>
      </c>
      <c r="E46" s="8" t="inlineStr">
        <is>
          <t>Al Majma'ah (NMJ)</t>
        </is>
      </c>
      <c r="F46" s="8" t="inlineStr">
        <is>
          <t>NSR</t>
        </is>
      </c>
      <c r="G46" s="8" t="inlineStr">
        <is>
          <t>NMJ-P1100</t>
        </is>
      </c>
      <c r="H46" s="8" t="inlineStr">
        <is>
          <t>MS4 Material delivered (20%) - Al Majma'ah</t>
        </is>
      </c>
      <c r="I46" s="9">
        <f>Payment_Milestones!E23</f>
        <v/>
      </c>
      <c r="J46" s="9">
        <f>SUM(I$5:I46)</f>
        <v/>
      </c>
      <c r="K46" s="23">
        <f>J46/62000000</f>
        <v/>
      </c>
    </row>
    <row r="47">
      <c r="A47" s="24" t="n">
        <v>46905</v>
      </c>
      <c r="B47" s="25" t="n">
        <v>46912</v>
      </c>
      <c r="C47" s="8" t="inlineStr">
        <is>
          <t>MS6</t>
        </is>
      </c>
      <c r="D47" s="8" t="inlineStr">
        <is>
          <t>Testing and commissioning (SAT)</t>
        </is>
      </c>
      <c r="E47" s="8" t="inlineStr">
        <is>
          <t>Hufuf (EHF)</t>
        </is>
      </c>
      <c r="F47" s="8" t="inlineStr">
        <is>
          <t>EWR</t>
        </is>
      </c>
      <c r="G47" s="8" t="inlineStr">
        <is>
          <t>EHF-T1100</t>
        </is>
      </c>
      <c r="H47" s="8" t="inlineStr">
        <is>
          <t>MS6 SAT complete (10%) - Hufuf</t>
        </is>
      </c>
      <c r="I47" s="9">
        <f>Payment_Milestones!G22</f>
        <v/>
      </c>
      <c r="J47" s="9">
        <f>SUM(I$5:I47)</f>
        <v/>
      </c>
      <c r="K47" s="23">
        <f>J47/62000000</f>
        <v/>
      </c>
    </row>
    <row r="48">
      <c r="A48" s="24" t="n">
        <v>46905</v>
      </c>
      <c r="B48" s="25" t="n">
        <v>46918</v>
      </c>
      <c r="C48" s="8" t="inlineStr">
        <is>
          <t>MS5</t>
        </is>
      </c>
      <c r="D48" s="8" t="inlineStr">
        <is>
          <t>Installation</t>
        </is>
      </c>
      <c r="E48" s="8" t="inlineStr">
        <is>
          <t>Al Qassim (NQS)</t>
        </is>
      </c>
      <c r="F48" s="8" t="inlineStr">
        <is>
          <t>NSR</t>
        </is>
      </c>
      <c r="G48" s="8" t="inlineStr">
        <is>
          <t>NQS-C2100</t>
        </is>
      </c>
      <c r="H48" s="8" t="inlineStr">
        <is>
          <t>MS5 Installation complete (20%) - Al Qassim</t>
        </is>
      </c>
      <c r="I48" s="9">
        <f>Payment_Milestones!F21</f>
        <v/>
      </c>
      <c r="J48" s="9">
        <f>SUM(I$5:I48)</f>
        <v/>
      </c>
      <c r="K48" s="23">
        <f>J48/62000000</f>
        <v/>
      </c>
    </row>
    <row r="49">
      <c r="A49" s="24" t="n">
        <v>46905</v>
      </c>
      <c r="B49" s="25" t="n">
        <v>46922</v>
      </c>
      <c r="C49" s="8" t="inlineStr">
        <is>
          <t>MS2</t>
        </is>
      </c>
      <c r="D49" s="8" t="inlineStr">
        <is>
          <t>Engineering submittal</t>
        </is>
      </c>
      <c r="E49" s="8" t="inlineStr">
        <is>
          <t>Abqaiq (EAB)</t>
        </is>
      </c>
      <c r="F49" s="8" t="inlineStr">
        <is>
          <t>EWR</t>
        </is>
      </c>
      <c r="G49" s="8" t="inlineStr">
        <is>
          <t>EAB-E1200</t>
        </is>
      </c>
      <c r="H49" s="8" t="inlineStr">
        <is>
          <t>MS2 Engineering submittal complete (10%) - Abqaiq</t>
        </is>
      </c>
      <c r="I49" s="9">
        <f>Payment_Milestones!C26</f>
        <v/>
      </c>
      <c r="J49" s="9">
        <f>SUM(I$5:I49)</f>
        <v/>
      </c>
      <c r="K49" s="23">
        <f>J49/62000000</f>
        <v/>
      </c>
    </row>
    <row r="50">
      <c r="A50" s="24" t="n">
        <v>46935</v>
      </c>
      <c r="B50" s="25" t="n">
        <v>46937</v>
      </c>
      <c r="C50" s="8" t="inlineStr">
        <is>
          <t>MS6</t>
        </is>
      </c>
      <c r="D50" s="8" t="inlineStr">
        <is>
          <t>Testing and commissioning (SAT)</t>
        </is>
      </c>
      <c r="E50" s="8" t="inlineStr">
        <is>
          <t>Al Qassim (NQS)</t>
        </is>
      </c>
      <c r="F50" s="8" t="inlineStr">
        <is>
          <t>NSR</t>
        </is>
      </c>
      <c r="G50" s="8" t="inlineStr">
        <is>
          <t>NQS-T1100</t>
        </is>
      </c>
      <c r="H50" s="8" t="inlineStr">
        <is>
          <t>MS6 SAT complete (10%) - Al Qassim</t>
        </is>
      </c>
      <c r="I50" s="9">
        <f>Payment_Milestones!G21</f>
        <v/>
      </c>
      <c r="J50" s="9">
        <f>SUM(I$5:I50)</f>
        <v/>
      </c>
      <c r="K50" s="23">
        <f>J50/62000000</f>
        <v/>
      </c>
    </row>
    <row r="51">
      <c r="A51" s="24" t="n">
        <v>46935</v>
      </c>
      <c r="B51" s="25" t="n">
        <v>46939</v>
      </c>
      <c r="C51" s="8" t="inlineStr">
        <is>
          <t>MS7</t>
        </is>
      </c>
      <c r="D51" s="8" t="inlineStr">
        <is>
          <t>Final acceptance and handover</t>
        </is>
      </c>
      <c r="E51" s="8" t="inlineStr">
        <is>
          <t>Dammam (EDM)</t>
        </is>
      </c>
      <c r="F51" s="8" t="inlineStr">
        <is>
          <t>EWR</t>
        </is>
      </c>
      <c r="G51" s="8" t="inlineStr">
        <is>
          <t>EDM-T3100</t>
        </is>
      </c>
      <c r="H51" s="8" t="inlineStr">
        <is>
          <t>MS7 Station accepted - final acceptance and handover (10%) - Dammam</t>
        </is>
      </c>
      <c r="I51" s="9">
        <f>Payment_Milestones!H20</f>
        <v/>
      </c>
      <c r="J51" s="9">
        <f>SUM(I$5:I51)</f>
        <v/>
      </c>
      <c r="K51" s="23">
        <f>J51/62000000</f>
        <v/>
      </c>
    </row>
    <row r="52">
      <c r="A52" s="24" t="n">
        <v>46935</v>
      </c>
      <c r="B52" s="25" t="n">
        <v>46943</v>
      </c>
      <c r="C52" s="8" t="inlineStr">
        <is>
          <t>MS3</t>
        </is>
      </c>
      <c r="D52" s="8" t="inlineStr">
        <is>
          <t>SAR approval of engineering</t>
        </is>
      </c>
      <c r="E52" s="8" t="inlineStr">
        <is>
          <t>Abqaiq (EAB)</t>
        </is>
      </c>
      <c r="F52" s="8" t="inlineStr">
        <is>
          <t>EWR</t>
        </is>
      </c>
      <c r="G52" s="8" t="inlineStr">
        <is>
          <t>EAB-E1210</t>
        </is>
      </c>
      <c r="H52" s="8" t="inlineStr">
        <is>
          <t>MS3 Engineering approved by SAR (10%) - Abqaiq</t>
        </is>
      </c>
      <c r="I52" s="9">
        <f>Payment_Milestones!D26</f>
        <v/>
      </c>
      <c r="J52" s="9">
        <f>SUM(I$5:I52)</f>
        <v/>
      </c>
      <c r="K52" s="23">
        <f>J52/62000000</f>
        <v/>
      </c>
    </row>
    <row r="53">
      <c r="A53" s="24" t="n">
        <v>46935</v>
      </c>
      <c r="B53" s="25" t="n">
        <v>46943</v>
      </c>
      <c r="C53" s="8" t="inlineStr">
        <is>
          <t>MS7</t>
        </is>
      </c>
      <c r="D53" s="8" t="inlineStr">
        <is>
          <t>Final acceptance and handover</t>
        </is>
      </c>
      <c r="E53" s="8" t="inlineStr">
        <is>
          <t>Makkah (HMK)</t>
        </is>
      </c>
      <c r="F53" s="8" t="inlineStr">
        <is>
          <t>HHR</t>
        </is>
      </c>
      <c r="G53" s="8" t="inlineStr">
        <is>
          <t>HMK-T3100</t>
        </is>
      </c>
      <c r="H53" s="8" t="inlineStr">
        <is>
          <t>MS7 Station accepted - final acceptance and handover (10%) - Makkah</t>
        </is>
      </c>
      <c r="I53" s="9">
        <f>Payment_Milestones!H17</f>
        <v/>
      </c>
      <c r="J53" s="9">
        <f>SUM(I$5:I53)</f>
        <v/>
      </c>
      <c r="K53" s="23">
        <f>J53/62000000</f>
        <v/>
      </c>
    </row>
    <row r="54">
      <c r="A54" s="24" t="n">
        <v>46935</v>
      </c>
      <c r="B54" s="25" t="n">
        <v>46946</v>
      </c>
      <c r="C54" s="8" t="inlineStr">
        <is>
          <t>MS2</t>
        </is>
      </c>
      <c r="D54" s="8" t="inlineStr">
        <is>
          <t>Engineering submittal</t>
        </is>
      </c>
      <c r="E54" s="8" t="inlineStr">
        <is>
          <t>Hail (NHL)</t>
        </is>
      </c>
      <c r="F54" s="8" t="inlineStr">
        <is>
          <t>NSR</t>
        </is>
      </c>
      <c r="G54" s="8" t="inlineStr">
        <is>
          <t>NHL-E1200</t>
        </is>
      </c>
      <c r="H54" s="8" t="inlineStr">
        <is>
          <t>MS2 Engineering submittal complete (10%) - Hail</t>
        </is>
      </c>
      <c r="I54" s="9">
        <f>Payment_Milestones!C27</f>
        <v/>
      </c>
      <c r="J54" s="9">
        <f>SUM(I$5:I54)</f>
        <v/>
      </c>
      <c r="K54" s="23">
        <f>J54/62000000</f>
        <v/>
      </c>
    </row>
    <row r="55">
      <c r="A55" s="24" t="n">
        <v>46966</v>
      </c>
      <c r="B55" s="25" t="n">
        <v>46966</v>
      </c>
      <c r="C55" s="8" t="inlineStr">
        <is>
          <t>MS5</t>
        </is>
      </c>
      <c r="D55" s="8" t="inlineStr">
        <is>
          <t>Installation</t>
        </is>
      </c>
      <c r="E55" s="8" t="inlineStr">
        <is>
          <t>Al Majma'ah (NMJ)</t>
        </is>
      </c>
      <c r="F55" s="8" t="inlineStr">
        <is>
          <t>NSR</t>
        </is>
      </c>
      <c r="G55" s="8" t="inlineStr">
        <is>
          <t>NMJ-C2100</t>
        </is>
      </c>
      <c r="H55" s="8" t="inlineStr">
        <is>
          <t>MS5 Installation complete (20%) - Al Majma'ah</t>
        </is>
      </c>
      <c r="I55" s="9">
        <f>Payment_Milestones!F23</f>
        <v/>
      </c>
      <c r="J55" s="9">
        <f>SUM(I$5:I55)</f>
        <v/>
      </c>
      <c r="K55" s="23">
        <f>J55/62000000</f>
        <v/>
      </c>
    </row>
    <row r="56">
      <c r="A56" s="24" t="n">
        <v>46966</v>
      </c>
      <c r="B56" s="25" t="n">
        <v>46966</v>
      </c>
      <c r="C56" s="8" t="inlineStr">
        <is>
          <t>MS7</t>
        </is>
      </c>
      <c r="D56" s="8" t="inlineStr">
        <is>
          <t>Final acceptance and handover</t>
        </is>
      </c>
      <c r="E56" s="8" t="inlineStr">
        <is>
          <t>Jeddah (HJD)</t>
        </is>
      </c>
      <c r="F56" s="8" t="inlineStr">
        <is>
          <t>HHR</t>
        </is>
      </c>
      <c r="G56" s="8" t="inlineStr">
        <is>
          <t>HJD-T3100</t>
        </is>
      </c>
      <c r="H56" s="8" t="inlineStr">
        <is>
          <t>MS7 Station accepted - final acceptance and handover (10%) - Jeddah</t>
        </is>
      </c>
      <c r="I56" s="9">
        <f>Payment_Milestones!H19</f>
        <v/>
      </c>
      <c r="J56" s="9">
        <f>SUM(I$5:I56)</f>
        <v/>
      </c>
      <c r="K56" s="23">
        <f>J56/62000000</f>
        <v/>
      </c>
    </row>
    <row r="57">
      <c r="A57" s="24" t="n">
        <v>46966</v>
      </c>
      <c r="B57" s="25" t="n">
        <v>46967</v>
      </c>
      <c r="C57" s="8" t="inlineStr">
        <is>
          <t>MS3</t>
        </is>
      </c>
      <c r="D57" s="8" t="inlineStr">
        <is>
          <t>SAR approval of engineering</t>
        </is>
      </c>
      <c r="E57" s="8" t="inlineStr">
        <is>
          <t>Hail (NHL)</t>
        </is>
      </c>
      <c r="F57" s="8" t="inlineStr">
        <is>
          <t>NSR</t>
        </is>
      </c>
      <c r="G57" s="8" t="inlineStr">
        <is>
          <t>NHL-E1210</t>
        </is>
      </c>
      <c r="H57" s="8" t="inlineStr">
        <is>
          <t>MS3 Engineering approved by SAR (10%) - Hail</t>
        </is>
      </c>
      <c r="I57" s="9">
        <f>Payment_Milestones!D27</f>
        <v/>
      </c>
      <c r="J57" s="9">
        <f>SUM(I$5:I57)</f>
        <v/>
      </c>
      <c r="K57" s="23">
        <f>J57/62000000</f>
        <v/>
      </c>
    </row>
    <row r="58">
      <c r="A58" s="24" t="n">
        <v>46966</v>
      </c>
      <c r="B58" s="25" t="n">
        <v>46985</v>
      </c>
      <c r="C58" s="8" t="inlineStr">
        <is>
          <t>MS6</t>
        </is>
      </c>
      <c r="D58" s="8" t="inlineStr">
        <is>
          <t>Testing and commissioning (SAT)</t>
        </is>
      </c>
      <c r="E58" s="8" t="inlineStr">
        <is>
          <t>Al Majma'ah (NMJ)</t>
        </is>
      </c>
      <c r="F58" s="8" t="inlineStr">
        <is>
          <t>NSR</t>
        </is>
      </c>
      <c r="G58" s="8" t="inlineStr">
        <is>
          <t>NMJ-T1100</t>
        </is>
      </c>
      <c r="H58" s="8" t="inlineStr">
        <is>
          <t>MS6 SAT complete (10%) - Al Majma'ah</t>
        </is>
      </c>
      <c r="I58" s="9">
        <f>Payment_Milestones!G23</f>
        <v/>
      </c>
      <c r="J58" s="9">
        <f>SUM(I$5:I58)</f>
        <v/>
      </c>
      <c r="K58" s="23">
        <f>J58/62000000</f>
        <v/>
      </c>
    </row>
    <row r="59">
      <c r="A59" s="24" t="n">
        <v>46966</v>
      </c>
      <c r="B59" s="25" t="n">
        <v>46986</v>
      </c>
      <c r="C59" s="8" t="inlineStr">
        <is>
          <t>MS7</t>
        </is>
      </c>
      <c r="D59" s="8" t="inlineStr">
        <is>
          <t>Final acceptance and handover</t>
        </is>
      </c>
      <c r="E59" s="8" t="inlineStr">
        <is>
          <t>Hufuf (EHF)</t>
        </is>
      </c>
      <c r="F59" s="8" t="inlineStr">
        <is>
          <t>EWR</t>
        </is>
      </c>
      <c r="G59" s="8" t="inlineStr">
        <is>
          <t>EHF-T3100</t>
        </is>
      </c>
      <c r="H59" s="8" t="inlineStr">
        <is>
          <t>MS7 Station accepted - final acceptance and handover (10%) - Hufuf</t>
        </is>
      </c>
      <c r="I59" s="9">
        <f>Payment_Milestones!H22</f>
        <v/>
      </c>
      <c r="J59" s="9">
        <f>SUM(I$5:I59)</f>
        <v/>
      </c>
      <c r="K59" s="23">
        <f>J59/62000000</f>
        <v/>
      </c>
    </row>
    <row r="60">
      <c r="A60" s="24" t="n">
        <v>46997</v>
      </c>
      <c r="B60" s="25" t="n">
        <v>47009</v>
      </c>
      <c r="C60" s="8" t="inlineStr">
        <is>
          <t>MS7</t>
        </is>
      </c>
      <c r="D60" s="8" t="inlineStr">
        <is>
          <t>Final acceptance and handover</t>
        </is>
      </c>
      <c r="E60" s="8" t="inlineStr">
        <is>
          <t>Al Qassim (NQS)</t>
        </is>
      </c>
      <c r="F60" s="8" t="inlineStr">
        <is>
          <t>NSR</t>
        </is>
      </c>
      <c r="G60" s="8" t="inlineStr">
        <is>
          <t>NQS-T3100</t>
        </is>
      </c>
      <c r="H60" s="8" t="inlineStr">
        <is>
          <t>MS7 Station accepted - final acceptance and handover (10%) - Al Qassim</t>
        </is>
      </c>
      <c r="I60" s="9">
        <f>Payment_Milestones!H21</f>
        <v/>
      </c>
      <c r="J60" s="9">
        <f>SUM(I$5:I60)</f>
        <v/>
      </c>
      <c r="K60" s="23">
        <f>J60/62000000</f>
        <v/>
      </c>
    </row>
    <row r="61">
      <c r="A61" s="24" t="n">
        <v>46997</v>
      </c>
      <c r="B61" s="25" t="n">
        <v>47023</v>
      </c>
      <c r="C61" s="8" t="inlineStr">
        <is>
          <t>MS2</t>
        </is>
      </c>
      <c r="D61" s="8" t="inlineStr">
        <is>
          <t>Engineering submittal</t>
        </is>
      </c>
      <c r="E61" s="8" t="inlineStr">
        <is>
          <t>Al Jouf (NJF)</t>
        </is>
      </c>
      <c r="F61" s="8" t="inlineStr">
        <is>
          <t>NSR</t>
        </is>
      </c>
      <c r="G61" s="8" t="inlineStr">
        <is>
          <t>NJF-E1200</t>
        </is>
      </c>
      <c r="H61" s="8" t="inlineStr">
        <is>
          <t>MS2 Engineering submittal complete (10%) - Al Jouf</t>
        </is>
      </c>
      <c r="I61" s="9">
        <f>Payment_Milestones!C28</f>
        <v/>
      </c>
      <c r="J61" s="9">
        <f>SUM(I$5:I61)</f>
        <v/>
      </c>
      <c r="K61" s="23">
        <f>J61/62000000</f>
        <v/>
      </c>
    </row>
    <row r="62">
      <c r="A62" s="24" t="n">
        <v>47027</v>
      </c>
      <c r="B62" s="25" t="n">
        <v>47030</v>
      </c>
      <c r="C62" s="8" t="inlineStr">
        <is>
          <t>MS4</t>
        </is>
      </c>
      <c r="D62" s="8" t="inlineStr">
        <is>
          <t>Material delivery</t>
        </is>
      </c>
      <c r="E62" s="8" t="inlineStr">
        <is>
          <t>Madinah (HMD)</t>
        </is>
      </c>
      <c r="F62" s="8" t="inlineStr">
        <is>
          <t>HHR</t>
        </is>
      </c>
      <c r="G62" s="8" t="inlineStr">
        <is>
          <t>HMD-P1100</t>
        </is>
      </c>
      <c r="H62" s="8" t="inlineStr">
        <is>
          <t>MS4 Material delivered (20%) - Madinah</t>
        </is>
      </c>
      <c r="I62" s="9">
        <f>Payment_Milestones!E25</f>
        <v/>
      </c>
      <c r="J62" s="9">
        <f>SUM(I$5:I62)</f>
        <v/>
      </c>
      <c r="K62" s="23">
        <f>J62/62000000</f>
        <v/>
      </c>
    </row>
    <row r="63">
      <c r="A63" s="24" t="n">
        <v>47027</v>
      </c>
      <c r="B63" s="25" t="n">
        <v>47031</v>
      </c>
      <c r="C63" s="8" t="inlineStr">
        <is>
          <t>MS4</t>
        </is>
      </c>
      <c r="D63" s="8" t="inlineStr">
        <is>
          <t>Material delivery</t>
        </is>
      </c>
      <c r="E63" s="8" t="inlineStr">
        <is>
          <t>KAEC (HKA)</t>
        </is>
      </c>
      <c r="F63" s="8" t="inlineStr">
        <is>
          <t>HHR</t>
        </is>
      </c>
      <c r="G63" s="8" t="inlineStr">
        <is>
          <t>HKA-P1100</t>
        </is>
      </c>
      <c r="H63" s="8" t="inlineStr">
        <is>
          <t>MS4 Material delivered (20%) - KAEC</t>
        </is>
      </c>
      <c r="I63" s="9">
        <f>Payment_Milestones!E24</f>
        <v/>
      </c>
      <c r="J63" s="9">
        <f>SUM(I$5:I63)</f>
        <v/>
      </c>
      <c r="K63" s="23">
        <f>J63/62000000</f>
        <v/>
      </c>
    </row>
    <row r="64">
      <c r="A64" s="24" t="n">
        <v>47027</v>
      </c>
      <c r="B64" s="25" t="n">
        <v>47044</v>
      </c>
      <c r="C64" s="8" t="inlineStr">
        <is>
          <t>MS3</t>
        </is>
      </c>
      <c r="D64" s="8" t="inlineStr">
        <is>
          <t>SAR approval of engineering</t>
        </is>
      </c>
      <c r="E64" s="8" t="inlineStr">
        <is>
          <t>Al Jouf (NJF)</t>
        </is>
      </c>
      <c r="F64" s="8" t="inlineStr">
        <is>
          <t>NSR</t>
        </is>
      </c>
      <c r="G64" s="8" t="inlineStr">
        <is>
          <t>NJF-E1210</t>
        </is>
      </c>
      <c r="H64" s="8" t="inlineStr">
        <is>
          <t>MS3 Engineering approved by SAR (10%) - Al Jouf</t>
        </is>
      </c>
      <c r="I64" s="9">
        <f>Payment_Milestones!D28</f>
        <v/>
      </c>
      <c r="J64" s="9">
        <f>SUM(I$5:I64)</f>
        <v/>
      </c>
      <c r="K64" s="23">
        <f>J64/62000000</f>
        <v/>
      </c>
    </row>
    <row r="65">
      <c r="A65" s="24" t="n">
        <v>47027</v>
      </c>
      <c r="B65" s="25" t="n">
        <v>47044</v>
      </c>
      <c r="C65" s="8" t="inlineStr">
        <is>
          <t>MS4</t>
        </is>
      </c>
      <c r="D65" s="8" t="inlineStr">
        <is>
          <t>Material delivery</t>
        </is>
      </c>
      <c r="E65" s="8" t="inlineStr">
        <is>
          <t>Abqaiq (EAB)</t>
        </is>
      </c>
      <c r="F65" s="8" t="inlineStr">
        <is>
          <t>EWR</t>
        </is>
      </c>
      <c r="G65" s="8" t="inlineStr">
        <is>
          <t>EAB-P1100</t>
        </is>
      </c>
      <c r="H65" s="8" t="inlineStr">
        <is>
          <t>MS4 Material delivered (20%) - Abqaiq</t>
        </is>
      </c>
      <c r="I65" s="9">
        <f>Payment_Milestones!E26</f>
        <v/>
      </c>
      <c r="J65" s="9">
        <f>SUM(I$5:I65)</f>
        <v/>
      </c>
      <c r="K65" s="23">
        <f>J65/62000000</f>
        <v/>
      </c>
    </row>
    <row r="66">
      <c r="A66" s="24" t="n">
        <v>47027</v>
      </c>
      <c r="B66" s="25" t="n">
        <v>47057</v>
      </c>
      <c r="C66" s="8" t="inlineStr">
        <is>
          <t>MS7</t>
        </is>
      </c>
      <c r="D66" s="8" t="inlineStr">
        <is>
          <t>Final acceptance and handover</t>
        </is>
      </c>
      <c r="E66" s="8" t="inlineStr">
        <is>
          <t>Al Majma'ah (NMJ)</t>
        </is>
      </c>
      <c r="F66" s="8" t="inlineStr">
        <is>
          <t>NSR</t>
        </is>
      </c>
      <c r="G66" s="8" t="inlineStr">
        <is>
          <t>NMJ-T3100</t>
        </is>
      </c>
      <c r="H66" s="8" t="inlineStr">
        <is>
          <t>MS7 Station accepted - final acceptance and handover (10%) - Al Majma'ah</t>
        </is>
      </c>
      <c r="I66" s="9">
        <f>Payment_Milestones!H23</f>
        <v/>
      </c>
      <c r="J66" s="9">
        <f>SUM(I$5:I66)</f>
        <v/>
      </c>
      <c r="K66" s="23">
        <f>J66/62000000</f>
        <v/>
      </c>
    </row>
    <row r="67">
      <c r="A67" s="24" t="n">
        <v>47058</v>
      </c>
      <c r="B67" s="25" t="n">
        <v>47069</v>
      </c>
      <c r="C67" s="8" t="inlineStr">
        <is>
          <t>MS2</t>
        </is>
      </c>
      <c r="D67" s="8" t="inlineStr">
        <is>
          <t>Engineering submittal</t>
        </is>
      </c>
      <c r="E67" s="8" t="inlineStr">
        <is>
          <t>Al Qurayyat (NQR)</t>
        </is>
      </c>
      <c r="F67" s="8" t="inlineStr">
        <is>
          <t>NSR</t>
        </is>
      </c>
      <c r="G67" s="8" t="inlineStr">
        <is>
          <t>NQR-E1200</t>
        </is>
      </c>
      <c r="H67" s="8" t="inlineStr">
        <is>
          <t>MS2 Engineering submittal complete (10%) - Al Qurayyat</t>
        </is>
      </c>
      <c r="I67" s="9">
        <f>Payment_Milestones!C29</f>
        <v/>
      </c>
      <c r="J67" s="9">
        <f>SUM(I$5:I67)</f>
        <v/>
      </c>
      <c r="K67" s="23">
        <f>J67/62000000</f>
        <v/>
      </c>
    </row>
    <row r="68">
      <c r="A68" s="24" t="n">
        <v>47058</v>
      </c>
      <c r="B68" s="25" t="n">
        <v>47080</v>
      </c>
      <c r="C68" s="8" t="inlineStr">
        <is>
          <t>MS5</t>
        </is>
      </c>
      <c r="D68" s="8" t="inlineStr">
        <is>
          <t>Installation</t>
        </is>
      </c>
      <c r="E68" s="8" t="inlineStr">
        <is>
          <t>Abqaiq (EAB)</t>
        </is>
      </c>
      <c r="F68" s="8" t="inlineStr">
        <is>
          <t>EWR</t>
        </is>
      </c>
      <c r="G68" s="8" t="inlineStr">
        <is>
          <t>EAB-C2100</t>
        </is>
      </c>
      <c r="H68" s="8" t="inlineStr">
        <is>
          <t>MS5 Installation complete (20%) - Abqaiq</t>
        </is>
      </c>
      <c r="I68" s="9">
        <f>Payment_Milestones!F26</f>
        <v/>
      </c>
      <c r="J68" s="9">
        <f>SUM(I$5:I68)</f>
        <v/>
      </c>
      <c r="K68" s="23">
        <f>J68/62000000</f>
        <v/>
      </c>
    </row>
    <row r="69">
      <c r="A69" s="24" t="n">
        <v>47058</v>
      </c>
      <c r="B69" s="25" t="n">
        <v>47085</v>
      </c>
      <c r="C69" s="8" t="inlineStr">
        <is>
          <t>MS4</t>
        </is>
      </c>
      <c r="D69" s="8" t="inlineStr">
        <is>
          <t>Material delivery</t>
        </is>
      </c>
      <c r="E69" s="8" t="inlineStr">
        <is>
          <t>Hail (NHL)</t>
        </is>
      </c>
      <c r="F69" s="8" t="inlineStr">
        <is>
          <t>NSR</t>
        </is>
      </c>
      <c r="G69" s="8" t="inlineStr">
        <is>
          <t>NHL-P1100</t>
        </is>
      </c>
      <c r="H69" s="8" t="inlineStr">
        <is>
          <t>MS4 Material delivered (20%) - Hail</t>
        </is>
      </c>
      <c r="I69" s="9">
        <f>Payment_Milestones!E27</f>
        <v/>
      </c>
      <c r="J69" s="9">
        <f>SUM(I$5:I69)</f>
        <v/>
      </c>
      <c r="K69" s="23">
        <f>J69/62000000</f>
        <v/>
      </c>
    </row>
    <row r="70">
      <c r="A70" s="24" t="n">
        <v>47088</v>
      </c>
      <c r="B70" s="25" t="n">
        <v>47090</v>
      </c>
      <c r="C70" s="8" t="inlineStr">
        <is>
          <t>MS3</t>
        </is>
      </c>
      <c r="D70" s="8" t="inlineStr">
        <is>
          <t>SAR approval of engineering</t>
        </is>
      </c>
      <c r="E70" s="8" t="inlineStr">
        <is>
          <t>Al Qurayyat (NQR)</t>
        </is>
      </c>
      <c r="F70" s="8" t="inlineStr">
        <is>
          <t>NSR</t>
        </is>
      </c>
      <c r="G70" s="8" t="inlineStr">
        <is>
          <t>NQR-E1210</t>
        </is>
      </c>
      <c r="H70" s="8" t="inlineStr">
        <is>
          <t>MS3 Engineering approved by SAR (10%) - Al Qurayyat</t>
        </is>
      </c>
      <c r="I70" s="9">
        <f>Payment_Milestones!D29</f>
        <v/>
      </c>
      <c r="J70" s="9">
        <f>SUM(I$5:I70)</f>
        <v/>
      </c>
      <c r="K70" s="23">
        <f>J70/62000000</f>
        <v/>
      </c>
    </row>
    <row r="71">
      <c r="A71" s="24" t="n">
        <v>47088</v>
      </c>
      <c r="B71" s="25" t="n">
        <v>47097</v>
      </c>
      <c r="C71" s="8" t="inlineStr">
        <is>
          <t>MS6</t>
        </is>
      </c>
      <c r="D71" s="8" t="inlineStr">
        <is>
          <t>Testing and commissioning (SAT)</t>
        </is>
      </c>
      <c r="E71" s="8" t="inlineStr">
        <is>
          <t>Abqaiq (EAB)</t>
        </is>
      </c>
      <c r="F71" s="8" t="inlineStr">
        <is>
          <t>EWR</t>
        </is>
      </c>
      <c r="G71" s="8" t="inlineStr">
        <is>
          <t>EAB-T1100</t>
        </is>
      </c>
      <c r="H71" s="8" t="inlineStr">
        <is>
          <t>MS6 SAT complete (10%) - Abqaiq</t>
        </is>
      </c>
      <c r="I71" s="9">
        <f>Payment_Milestones!G26</f>
        <v/>
      </c>
      <c r="J71" s="9">
        <f>SUM(I$5:I71)</f>
        <v/>
      </c>
      <c r="K71" s="23">
        <f>J71/62000000</f>
        <v/>
      </c>
    </row>
    <row r="72">
      <c r="A72" s="24" t="n">
        <v>47119</v>
      </c>
      <c r="B72" s="25" t="n">
        <v>47127</v>
      </c>
      <c r="C72" s="8" t="inlineStr">
        <is>
          <t>MS5</t>
        </is>
      </c>
      <c r="D72" s="8" t="inlineStr">
        <is>
          <t>Installation</t>
        </is>
      </c>
      <c r="E72" s="8" t="inlineStr">
        <is>
          <t>KAEC (HKA)</t>
        </is>
      </c>
      <c r="F72" s="8" t="inlineStr">
        <is>
          <t>HHR</t>
        </is>
      </c>
      <c r="G72" s="8" t="inlineStr">
        <is>
          <t>HKA-C2100</t>
        </is>
      </c>
      <c r="H72" s="8" t="inlineStr">
        <is>
          <t>MS5 Installation complete (20%) - KAEC</t>
        </is>
      </c>
      <c r="I72" s="9">
        <f>Payment_Milestones!F24</f>
        <v/>
      </c>
      <c r="J72" s="9">
        <f>SUM(I$5:I72)</f>
        <v/>
      </c>
      <c r="K72" s="23">
        <f>J72/62000000</f>
        <v/>
      </c>
    </row>
    <row r="73">
      <c r="A73" s="24" t="n">
        <v>47119</v>
      </c>
      <c r="B73" s="25" t="n">
        <v>47132</v>
      </c>
      <c r="C73" s="8" t="inlineStr">
        <is>
          <t>MS5</t>
        </is>
      </c>
      <c r="D73" s="8" t="inlineStr">
        <is>
          <t>Installation</t>
        </is>
      </c>
      <c r="E73" s="8" t="inlineStr">
        <is>
          <t>Madinah (HMD)</t>
        </is>
      </c>
      <c r="F73" s="8" t="inlineStr">
        <is>
          <t>HHR</t>
        </is>
      </c>
      <c r="G73" s="8" t="inlineStr">
        <is>
          <t>HMD-C2100</t>
        </is>
      </c>
      <c r="H73" s="8" t="inlineStr">
        <is>
          <t>MS5 Installation complete (20%) - Madinah</t>
        </is>
      </c>
      <c r="I73" s="9">
        <f>Payment_Milestones!F25</f>
        <v/>
      </c>
      <c r="J73" s="9">
        <f>SUM(I$5:I73)</f>
        <v/>
      </c>
      <c r="K73" s="23">
        <f>J73/62000000</f>
        <v/>
      </c>
    </row>
    <row r="74">
      <c r="A74" s="24" t="n">
        <v>47119</v>
      </c>
      <c r="B74" s="25" t="n">
        <v>47147</v>
      </c>
      <c r="C74" s="8" t="inlineStr">
        <is>
          <t>MS5</t>
        </is>
      </c>
      <c r="D74" s="8" t="inlineStr">
        <is>
          <t>Installation</t>
        </is>
      </c>
      <c r="E74" s="8" t="inlineStr">
        <is>
          <t>Hail (NHL)</t>
        </is>
      </c>
      <c r="F74" s="8" t="inlineStr">
        <is>
          <t>NSR</t>
        </is>
      </c>
      <c r="G74" s="8" t="inlineStr">
        <is>
          <t>NHL-C2100</t>
        </is>
      </c>
      <c r="H74" s="8" t="inlineStr">
        <is>
          <t>MS5 Installation complete (20%) - Hail</t>
        </is>
      </c>
      <c r="I74" s="9">
        <f>Payment_Milestones!F27</f>
        <v/>
      </c>
      <c r="J74" s="9">
        <f>SUM(I$5:I74)</f>
        <v/>
      </c>
      <c r="K74" s="23">
        <f>J74/62000000</f>
        <v/>
      </c>
    </row>
    <row r="75">
      <c r="A75" s="24" t="n">
        <v>47150</v>
      </c>
      <c r="B75" s="25" t="n">
        <v>47155</v>
      </c>
      <c r="C75" s="8" t="inlineStr">
        <is>
          <t>MS6</t>
        </is>
      </c>
      <c r="D75" s="8" t="inlineStr">
        <is>
          <t>Testing and commissioning (SAT)</t>
        </is>
      </c>
      <c r="E75" s="8" t="inlineStr">
        <is>
          <t>KAEC (HKA)</t>
        </is>
      </c>
      <c r="F75" s="8" t="inlineStr">
        <is>
          <t>HHR</t>
        </is>
      </c>
      <c r="G75" s="8" t="inlineStr">
        <is>
          <t>HKA-T1100</t>
        </is>
      </c>
      <c r="H75" s="8" t="inlineStr">
        <is>
          <t>MS6 SAT complete (10%) - KAEC</t>
        </is>
      </c>
      <c r="I75" s="9">
        <f>Payment_Milestones!G24</f>
        <v/>
      </c>
      <c r="J75" s="9">
        <f>SUM(I$5:I75)</f>
        <v/>
      </c>
      <c r="K75" s="23">
        <f>J75/62000000</f>
        <v/>
      </c>
    </row>
    <row r="76">
      <c r="A76" s="24" t="n">
        <v>47150</v>
      </c>
      <c r="B76" s="25" t="n">
        <v>47168</v>
      </c>
      <c r="C76" s="8" t="inlineStr">
        <is>
          <t>MS6</t>
        </is>
      </c>
      <c r="D76" s="8" t="inlineStr">
        <is>
          <t>Testing and commissioning (SAT)</t>
        </is>
      </c>
      <c r="E76" s="8" t="inlineStr">
        <is>
          <t>Madinah (HMD)</t>
        </is>
      </c>
      <c r="F76" s="8" t="inlineStr">
        <is>
          <t>HHR</t>
        </is>
      </c>
      <c r="G76" s="8" t="inlineStr">
        <is>
          <t>HMD-T1100</t>
        </is>
      </c>
      <c r="H76" s="8" t="inlineStr">
        <is>
          <t>MS6 SAT complete (10%) - Madinah</t>
        </is>
      </c>
      <c r="I76" s="9">
        <f>Payment_Milestones!G25</f>
        <v/>
      </c>
      <c r="J76" s="9">
        <f>SUM(I$5:I76)</f>
        <v/>
      </c>
      <c r="K76" s="23">
        <f>J76/62000000</f>
        <v/>
      </c>
    </row>
    <row r="77">
      <c r="A77" s="24" t="n">
        <v>47150</v>
      </c>
      <c r="B77" s="25" t="n">
        <v>47169</v>
      </c>
      <c r="C77" s="8" t="inlineStr">
        <is>
          <t>MS4</t>
        </is>
      </c>
      <c r="D77" s="8" t="inlineStr">
        <is>
          <t>Material delivery</t>
        </is>
      </c>
      <c r="E77" s="8" t="inlineStr">
        <is>
          <t>Al Jouf (NJF)</t>
        </is>
      </c>
      <c r="F77" s="8" t="inlineStr">
        <is>
          <t>NSR</t>
        </is>
      </c>
      <c r="G77" s="8" t="inlineStr">
        <is>
          <t>NJF-P1100</t>
        </is>
      </c>
      <c r="H77" s="8" t="inlineStr">
        <is>
          <t>MS4 Material delivered (20%) - Al Jouf</t>
        </is>
      </c>
      <c r="I77" s="9">
        <f>Payment_Milestones!E28</f>
        <v/>
      </c>
      <c r="J77" s="9">
        <f>SUM(I$5:I77)</f>
        <v/>
      </c>
      <c r="K77" s="23">
        <f>J77/62000000</f>
        <v/>
      </c>
    </row>
    <row r="78">
      <c r="A78" s="24" t="n">
        <v>47150</v>
      </c>
      <c r="B78" s="25" t="n">
        <v>47174</v>
      </c>
      <c r="C78" s="8" t="inlineStr">
        <is>
          <t>MS6</t>
        </is>
      </c>
      <c r="D78" s="8" t="inlineStr">
        <is>
          <t>Testing and commissioning (SAT)</t>
        </is>
      </c>
      <c r="E78" s="8" t="inlineStr">
        <is>
          <t>Hail (NHL)</t>
        </is>
      </c>
      <c r="F78" s="8" t="inlineStr">
        <is>
          <t>NSR</t>
        </is>
      </c>
      <c r="G78" s="8" t="inlineStr">
        <is>
          <t>NHL-T1100</t>
        </is>
      </c>
      <c r="H78" s="8" t="inlineStr">
        <is>
          <t>MS6 SAT complete (10%) - Hail</t>
        </is>
      </c>
      <c r="I78" s="9">
        <f>Payment_Milestones!G27</f>
        <v/>
      </c>
      <c r="J78" s="9">
        <f>SUM(I$5:I78)</f>
        <v/>
      </c>
      <c r="K78" s="23">
        <f>J78/62000000</f>
        <v/>
      </c>
    </row>
    <row r="79">
      <c r="A79" s="24" t="n">
        <v>47150</v>
      </c>
      <c r="B79" s="25" t="n">
        <v>47177</v>
      </c>
      <c r="C79" s="8" t="inlineStr">
        <is>
          <t>MS7</t>
        </is>
      </c>
      <c r="D79" s="8" t="inlineStr">
        <is>
          <t>Final acceptance and handover</t>
        </is>
      </c>
      <c r="E79" s="8" t="inlineStr">
        <is>
          <t>Abqaiq (EAB)</t>
        </is>
      </c>
      <c r="F79" s="8" t="inlineStr">
        <is>
          <t>EWR</t>
        </is>
      </c>
      <c r="G79" s="8" t="inlineStr">
        <is>
          <t>EAB-T3100</t>
        </is>
      </c>
      <c r="H79" s="8" t="inlineStr">
        <is>
          <t>MS7 Station accepted - final acceptance and handover (10%) - Abqaiq</t>
        </is>
      </c>
      <c r="I79" s="9">
        <f>Payment_Milestones!H26</f>
        <v/>
      </c>
      <c r="J79" s="9">
        <f>SUM(I$5:I79)</f>
        <v/>
      </c>
      <c r="K79" s="23">
        <f>J79/62000000</f>
        <v/>
      </c>
    </row>
    <row r="80">
      <c r="A80" s="24" t="n">
        <v>47209</v>
      </c>
      <c r="B80" s="25" t="n">
        <v>47216</v>
      </c>
      <c r="C80" s="8" t="inlineStr">
        <is>
          <t>MS4</t>
        </is>
      </c>
      <c r="D80" s="8" t="inlineStr">
        <is>
          <t>Material delivery</t>
        </is>
      </c>
      <c r="E80" s="8" t="inlineStr">
        <is>
          <t>Al Qurayyat (NQR)</t>
        </is>
      </c>
      <c r="F80" s="8" t="inlineStr">
        <is>
          <t>NSR</t>
        </is>
      </c>
      <c r="G80" s="8" t="inlineStr">
        <is>
          <t>NQR-P1100</t>
        </is>
      </c>
      <c r="H80" s="8" t="inlineStr">
        <is>
          <t>MS4 Material delivered (20%) - Al Qurayyat</t>
        </is>
      </c>
      <c r="I80" s="9">
        <f>Payment_Milestones!E29</f>
        <v/>
      </c>
      <c r="J80" s="9">
        <f>SUM(I$5:I80)</f>
        <v/>
      </c>
      <c r="K80" s="23">
        <f>J80/62000000</f>
        <v/>
      </c>
    </row>
    <row r="81">
      <c r="A81" s="24" t="n">
        <v>47239</v>
      </c>
      <c r="B81" s="25" t="n">
        <v>47239</v>
      </c>
      <c r="C81" s="8" t="inlineStr">
        <is>
          <t>MS5</t>
        </is>
      </c>
      <c r="D81" s="8" t="inlineStr">
        <is>
          <t>Installation</t>
        </is>
      </c>
      <c r="E81" s="8" t="inlineStr">
        <is>
          <t>Al Jouf (NJF)</t>
        </is>
      </c>
      <c r="F81" s="8" t="inlineStr">
        <is>
          <t>NSR</t>
        </is>
      </c>
      <c r="G81" s="8" t="inlineStr">
        <is>
          <t>NJF-C2100</t>
        </is>
      </c>
      <c r="H81" s="8" t="inlineStr">
        <is>
          <t>MS5 Installation complete (20%) - Al Jouf</t>
        </is>
      </c>
      <c r="I81" s="9">
        <f>Payment_Milestones!F28</f>
        <v/>
      </c>
      <c r="J81" s="9">
        <f>SUM(I$5:I81)</f>
        <v/>
      </c>
      <c r="K81" s="23">
        <f>J81/62000000</f>
        <v/>
      </c>
    </row>
    <row r="82">
      <c r="A82" s="24" t="n">
        <v>47239</v>
      </c>
      <c r="B82" s="25" t="n">
        <v>47244</v>
      </c>
      <c r="C82" s="8" t="inlineStr">
        <is>
          <t>MS7</t>
        </is>
      </c>
      <c r="D82" s="8" t="inlineStr">
        <is>
          <t>Final acceptance and handover</t>
        </is>
      </c>
      <c r="E82" s="8" t="inlineStr">
        <is>
          <t>KAEC (HKA)</t>
        </is>
      </c>
      <c r="F82" s="8" t="inlineStr">
        <is>
          <t>HHR</t>
        </is>
      </c>
      <c r="G82" s="8" t="inlineStr">
        <is>
          <t>HKA-T3100</t>
        </is>
      </c>
      <c r="H82" s="8" t="inlineStr">
        <is>
          <t>MS7 Station accepted - final acceptance and handover (10%) - KAEC</t>
        </is>
      </c>
      <c r="I82" s="9">
        <f>Payment_Milestones!H24</f>
        <v/>
      </c>
      <c r="J82" s="9">
        <f>SUM(I$5:I82)</f>
        <v/>
      </c>
      <c r="K82" s="23">
        <f>J82/62000000</f>
        <v/>
      </c>
    </row>
    <row r="83">
      <c r="A83" s="24" t="n">
        <v>47239</v>
      </c>
      <c r="B83" s="25" t="n">
        <v>47248</v>
      </c>
      <c r="C83" s="8" t="inlineStr">
        <is>
          <t>MS7</t>
        </is>
      </c>
      <c r="D83" s="8" t="inlineStr">
        <is>
          <t>Final acceptance and handover</t>
        </is>
      </c>
      <c r="E83" s="8" t="inlineStr">
        <is>
          <t>Madinah (HMD)</t>
        </is>
      </c>
      <c r="F83" s="8" t="inlineStr">
        <is>
          <t>HHR</t>
        </is>
      </c>
      <c r="G83" s="8" t="inlineStr">
        <is>
          <t>HMD-T3100</t>
        </is>
      </c>
      <c r="H83" s="8" t="inlineStr">
        <is>
          <t>MS7 Station accepted - final acceptance and handover (10%) - Madinah</t>
        </is>
      </c>
      <c r="I83" s="9">
        <f>Payment_Milestones!H25</f>
        <v/>
      </c>
      <c r="J83" s="9">
        <f>SUM(I$5:I83)</f>
        <v/>
      </c>
      <c r="K83" s="23">
        <f>J83/62000000</f>
        <v/>
      </c>
    </row>
    <row r="84">
      <c r="A84" s="24" t="n">
        <v>47239</v>
      </c>
      <c r="B84" s="25" t="n">
        <v>47253</v>
      </c>
      <c r="C84" s="8" t="inlineStr">
        <is>
          <t>MS7</t>
        </is>
      </c>
      <c r="D84" s="8" t="inlineStr">
        <is>
          <t>Final acceptance and handover</t>
        </is>
      </c>
      <c r="E84" s="8" t="inlineStr">
        <is>
          <t>Hail (NHL)</t>
        </is>
      </c>
      <c r="F84" s="8" t="inlineStr">
        <is>
          <t>NSR</t>
        </is>
      </c>
      <c r="G84" s="8" t="inlineStr">
        <is>
          <t>NHL-T3100</t>
        </is>
      </c>
      <c r="H84" s="8" t="inlineStr">
        <is>
          <t>MS7 Station accepted - final acceptance and handover (10%) - Hail</t>
        </is>
      </c>
      <c r="I84" s="9">
        <f>Payment_Milestones!H27</f>
        <v/>
      </c>
      <c r="J84" s="9">
        <f>SUM(I$5:I84)</f>
        <v/>
      </c>
      <c r="K84" s="23">
        <f>J84/62000000</f>
        <v/>
      </c>
    </row>
    <row r="85">
      <c r="A85" s="24" t="n">
        <v>47239</v>
      </c>
      <c r="B85" s="25" t="n">
        <v>47258</v>
      </c>
      <c r="C85" s="8" t="inlineStr">
        <is>
          <t>MS6</t>
        </is>
      </c>
      <c r="D85" s="8" t="inlineStr">
        <is>
          <t>Testing and commissioning (SAT)</t>
        </is>
      </c>
      <c r="E85" s="8" t="inlineStr">
        <is>
          <t>Al Jouf (NJF)</t>
        </is>
      </c>
      <c r="F85" s="8" t="inlineStr">
        <is>
          <t>NSR</t>
        </is>
      </c>
      <c r="G85" s="8" t="inlineStr">
        <is>
          <t>NJF-T1100</t>
        </is>
      </c>
      <c r="H85" s="8" t="inlineStr">
        <is>
          <t>MS6 SAT complete (10%) - Al Jouf</t>
        </is>
      </c>
      <c r="I85" s="9">
        <f>Payment_Milestones!G28</f>
        <v/>
      </c>
      <c r="J85" s="9">
        <f>SUM(I$5:I85)</f>
        <v/>
      </c>
      <c r="K85" s="23">
        <f>J85/62000000</f>
        <v/>
      </c>
    </row>
    <row r="86">
      <c r="A86" s="24" t="n">
        <v>47270</v>
      </c>
      <c r="B86" s="25" t="n">
        <v>47283</v>
      </c>
      <c r="C86" s="8" t="inlineStr">
        <is>
          <t>MS5</t>
        </is>
      </c>
      <c r="D86" s="8" t="inlineStr">
        <is>
          <t>Installation</t>
        </is>
      </c>
      <c r="E86" s="8" t="inlineStr">
        <is>
          <t>Al Qurayyat (NQR)</t>
        </is>
      </c>
      <c r="F86" s="8" t="inlineStr">
        <is>
          <t>NSR</t>
        </is>
      </c>
      <c r="G86" s="8" t="inlineStr">
        <is>
          <t>NQR-C2100</t>
        </is>
      </c>
      <c r="H86" s="8" t="inlineStr">
        <is>
          <t>MS5 Installation complete (20%) - Al Qurayyat</t>
        </is>
      </c>
      <c r="I86" s="9">
        <f>Payment_Milestones!F29</f>
        <v/>
      </c>
      <c r="J86" s="9">
        <f>SUM(I$5:I86)</f>
        <v/>
      </c>
      <c r="K86" s="23">
        <f>J86/62000000</f>
        <v/>
      </c>
    </row>
    <row r="87">
      <c r="A87" s="24" t="n">
        <v>47300</v>
      </c>
      <c r="B87" s="25" t="n">
        <v>47302</v>
      </c>
      <c r="C87" s="8" t="inlineStr">
        <is>
          <t>MS6</t>
        </is>
      </c>
      <c r="D87" s="8" t="inlineStr">
        <is>
          <t>Testing and commissioning (SAT)</t>
        </is>
      </c>
      <c r="E87" s="8" t="inlineStr">
        <is>
          <t>Al Qurayyat (NQR)</t>
        </is>
      </c>
      <c r="F87" s="8" t="inlineStr">
        <is>
          <t>NSR</t>
        </is>
      </c>
      <c r="G87" s="8" t="inlineStr">
        <is>
          <t>NQR-T1100</t>
        </is>
      </c>
      <c r="H87" s="8" t="inlineStr">
        <is>
          <t>MS6 SAT complete (10%) - Al Qurayyat</t>
        </is>
      </c>
      <c r="I87" s="9">
        <f>Payment_Milestones!G29</f>
        <v/>
      </c>
      <c r="J87" s="9">
        <f>SUM(I$5:I87)</f>
        <v/>
      </c>
      <c r="K87" s="23">
        <f>J87/62000000</f>
        <v/>
      </c>
    </row>
    <row r="88">
      <c r="A88" s="24" t="n">
        <v>47300</v>
      </c>
      <c r="B88" s="25" t="n">
        <v>47330</v>
      </c>
      <c r="C88" s="8" t="inlineStr">
        <is>
          <t>MS7</t>
        </is>
      </c>
      <c r="D88" s="8" t="inlineStr">
        <is>
          <t>Final acceptance and handover</t>
        </is>
      </c>
      <c r="E88" s="8" t="inlineStr">
        <is>
          <t>Al Jouf (NJF)</t>
        </is>
      </c>
      <c r="F88" s="8" t="inlineStr">
        <is>
          <t>NSR</t>
        </is>
      </c>
      <c r="G88" s="8" t="inlineStr">
        <is>
          <t>NJF-T3100</t>
        </is>
      </c>
      <c r="H88" s="8" t="inlineStr">
        <is>
          <t>MS7 Station accepted - final acceptance and handover (10%) - Al Jouf</t>
        </is>
      </c>
      <c r="I88" s="9">
        <f>Payment_Milestones!H28</f>
        <v/>
      </c>
      <c r="J88" s="9">
        <f>SUM(I$5:I88)</f>
        <v/>
      </c>
      <c r="K88" s="23">
        <f>J88/62000000</f>
        <v/>
      </c>
    </row>
    <row r="89">
      <c r="A89" s="24" t="n">
        <v>47362</v>
      </c>
      <c r="B89" s="25" t="n">
        <v>47374</v>
      </c>
      <c r="C89" s="8" t="inlineStr">
        <is>
          <t>MS7</t>
        </is>
      </c>
      <c r="D89" s="8" t="inlineStr">
        <is>
          <t>Final acceptance and handover</t>
        </is>
      </c>
      <c r="E89" s="8" t="inlineStr">
        <is>
          <t>Al Qurayyat (NQR)</t>
        </is>
      </c>
      <c r="F89" s="8" t="inlineStr">
        <is>
          <t>NSR</t>
        </is>
      </c>
      <c r="G89" s="8" t="inlineStr">
        <is>
          <t>NQR-T3100</t>
        </is>
      </c>
      <c r="H89" s="8" t="inlineStr">
        <is>
          <t>MS7 Station accepted - final acceptance and handover (10%) - Al Qurayyat</t>
        </is>
      </c>
      <c r="I89" s="9">
        <f>Payment_Milestones!H29</f>
        <v/>
      </c>
      <c r="J89" s="9">
        <f>SUM(I$5:I89)</f>
        <v/>
      </c>
      <c r="K89" s="23">
        <f>J89/62000000</f>
        <v/>
      </c>
    </row>
    <row r="90">
      <c r="A90" s="11" t="inlineStr">
        <is>
          <t>Total</t>
        </is>
      </c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2">
        <f>SUM(I5:I89)</f>
        <v/>
      </c>
      <c r="J90" s="11" t="inlineStr"/>
      <c r="K90" s="11" t="inlineStr"/>
    </row>
    <row r="91">
      <c r="H91" s="2" t="inlineStr">
        <is>
          <t>Difference to contract price (should be 0)</t>
        </is>
      </c>
      <c r="I91" s="15">
        <f>I90-62000000</f>
        <v/>
      </c>
    </row>
    <row r="93">
      <c r="A93" s="26" t="inlineStr">
        <is>
          <t>Monthly invoicing by payment milestone</t>
        </is>
      </c>
    </row>
    <row r="94" ht="32" customHeight="1">
      <c r="A94" s="7" t="inlineStr">
        <is>
          <t>Month</t>
        </is>
      </c>
      <c r="B94" s="7" t="inlineStr">
        <is>
          <t>MS1</t>
        </is>
      </c>
      <c r="C94" s="7" t="inlineStr">
        <is>
          <t>MS2</t>
        </is>
      </c>
      <c r="D94" s="7" t="inlineStr">
        <is>
          <t>MS3</t>
        </is>
      </c>
      <c r="E94" s="7" t="inlineStr">
        <is>
          <t>MS4</t>
        </is>
      </c>
      <c r="F94" s="7" t="inlineStr">
        <is>
          <t>MS5</t>
        </is>
      </c>
      <c r="G94" s="7" t="inlineStr">
        <is>
          <t>MS6</t>
        </is>
      </c>
      <c r="H94" s="7" t="inlineStr">
        <is>
          <t>MS7</t>
        </is>
      </c>
      <c r="I94" s="7" t="inlineStr">
        <is>
          <t>Invoiced in month (SAR)</t>
        </is>
      </c>
      <c r="J94" s="7" t="inlineStr">
        <is>
          <t>Cumulative invoiced (SAR)</t>
        </is>
      </c>
      <c r="K94" s="7" t="inlineStr">
        <is>
          <t>Cumulative %</t>
        </is>
      </c>
    </row>
    <row r="95">
      <c r="A95" s="24" t="n">
        <v>46327</v>
      </c>
      <c r="B95" s="9">
        <f>SUMIFS($I$5:$I$89,$A$5:$A$89,$A95,$C$5:$C$89,B$94)</f>
        <v/>
      </c>
      <c r="C95" s="9">
        <f>SUMIFS($I$5:$I$89,$A$5:$A$89,$A95,$C$5:$C$89,C$94)</f>
        <v/>
      </c>
      <c r="D95" s="9">
        <f>SUMIFS($I$5:$I$89,$A$5:$A$89,$A95,$C$5:$C$89,D$94)</f>
        <v/>
      </c>
      <c r="E95" s="9">
        <f>SUMIFS($I$5:$I$89,$A$5:$A$89,$A95,$C$5:$C$89,E$94)</f>
        <v/>
      </c>
      <c r="F95" s="9">
        <f>SUMIFS($I$5:$I$89,$A$5:$A$89,$A95,$C$5:$C$89,F$94)</f>
        <v/>
      </c>
      <c r="G95" s="9">
        <f>SUMIFS($I$5:$I$89,$A$5:$A$89,$A95,$C$5:$C$89,G$94)</f>
        <v/>
      </c>
      <c r="H95" s="9">
        <f>SUMIFS($I$5:$I$89,$A$5:$A$89,$A95,$C$5:$C$89,H$94)</f>
        <v/>
      </c>
      <c r="I95" s="9">
        <f>SUM(B95:H95)</f>
        <v/>
      </c>
      <c r="J95" s="9">
        <f>SUM(I$95:I95)</f>
        <v/>
      </c>
      <c r="K95" s="23">
        <f>J95/62000000</f>
        <v/>
      </c>
    </row>
    <row r="96">
      <c r="A96" s="24" t="n">
        <v>46357</v>
      </c>
      <c r="B96" s="9">
        <f>SUMIFS($I$5:$I$89,$A$5:$A$89,$A96,$C$5:$C$89,B$94)</f>
        <v/>
      </c>
      <c r="C96" s="9">
        <f>SUMIFS($I$5:$I$89,$A$5:$A$89,$A96,$C$5:$C$89,C$94)</f>
        <v/>
      </c>
      <c r="D96" s="9">
        <f>SUMIFS($I$5:$I$89,$A$5:$A$89,$A96,$C$5:$C$89,D$94)</f>
        <v/>
      </c>
      <c r="E96" s="9">
        <f>SUMIFS($I$5:$I$89,$A$5:$A$89,$A96,$C$5:$C$89,E$94)</f>
        <v/>
      </c>
      <c r="F96" s="9">
        <f>SUMIFS($I$5:$I$89,$A$5:$A$89,$A96,$C$5:$C$89,F$94)</f>
        <v/>
      </c>
      <c r="G96" s="9">
        <f>SUMIFS($I$5:$I$89,$A$5:$A$89,$A96,$C$5:$C$89,G$94)</f>
        <v/>
      </c>
      <c r="H96" s="9">
        <f>SUMIFS($I$5:$I$89,$A$5:$A$89,$A96,$C$5:$C$89,H$94)</f>
        <v/>
      </c>
      <c r="I96" s="9">
        <f>SUM(B96:H96)</f>
        <v/>
      </c>
      <c r="J96" s="9">
        <f>SUM(I$95:I96)</f>
        <v/>
      </c>
      <c r="K96" s="23">
        <f>J96/62000000</f>
        <v/>
      </c>
    </row>
    <row r="97">
      <c r="A97" s="24" t="n">
        <v>46388</v>
      </c>
      <c r="B97" s="9">
        <f>SUMIFS($I$5:$I$89,$A$5:$A$89,$A97,$C$5:$C$89,B$94)</f>
        <v/>
      </c>
      <c r="C97" s="9">
        <f>SUMIFS($I$5:$I$89,$A$5:$A$89,$A97,$C$5:$C$89,C$94)</f>
        <v/>
      </c>
      <c r="D97" s="9">
        <f>SUMIFS($I$5:$I$89,$A$5:$A$89,$A97,$C$5:$C$89,D$94)</f>
        <v/>
      </c>
      <c r="E97" s="9">
        <f>SUMIFS($I$5:$I$89,$A$5:$A$89,$A97,$C$5:$C$89,E$94)</f>
        <v/>
      </c>
      <c r="F97" s="9">
        <f>SUMIFS($I$5:$I$89,$A$5:$A$89,$A97,$C$5:$C$89,F$94)</f>
        <v/>
      </c>
      <c r="G97" s="9">
        <f>SUMIFS($I$5:$I$89,$A$5:$A$89,$A97,$C$5:$C$89,G$94)</f>
        <v/>
      </c>
      <c r="H97" s="9">
        <f>SUMIFS($I$5:$I$89,$A$5:$A$89,$A97,$C$5:$C$89,H$94)</f>
        <v/>
      </c>
      <c r="I97" s="9">
        <f>SUM(B97:H97)</f>
        <v/>
      </c>
      <c r="J97" s="9">
        <f>SUM(I$95:I97)</f>
        <v/>
      </c>
      <c r="K97" s="23">
        <f>J97/62000000</f>
        <v/>
      </c>
    </row>
    <row r="98">
      <c r="A98" s="24" t="n">
        <v>46419</v>
      </c>
      <c r="B98" s="9">
        <f>SUMIFS($I$5:$I$89,$A$5:$A$89,$A98,$C$5:$C$89,B$94)</f>
        <v/>
      </c>
      <c r="C98" s="9">
        <f>SUMIFS($I$5:$I$89,$A$5:$A$89,$A98,$C$5:$C$89,C$94)</f>
        <v/>
      </c>
      <c r="D98" s="9">
        <f>SUMIFS($I$5:$I$89,$A$5:$A$89,$A98,$C$5:$C$89,D$94)</f>
        <v/>
      </c>
      <c r="E98" s="9">
        <f>SUMIFS($I$5:$I$89,$A$5:$A$89,$A98,$C$5:$C$89,E$94)</f>
        <v/>
      </c>
      <c r="F98" s="9">
        <f>SUMIFS($I$5:$I$89,$A$5:$A$89,$A98,$C$5:$C$89,F$94)</f>
        <v/>
      </c>
      <c r="G98" s="9">
        <f>SUMIFS($I$5:$I$89,$A$5:$A$89,$A98,$C$5:$C$89,G$94)</f>
        <v/>
      </c>
      <c r="H98" s="9">
        <f>SUMIFS($I$5:$I$89,$A$5:$A$89,$A98,$C$5:$C$89,H$94)</f>
        <v/>
      </c>
      <c r="I98" s="9">
        <f>SUM(B98:H98)</f>
        <v/>
      </c>
      <c r="J98" s="9">
        <f>SUM(I$95:I98)</f>
        <v/>
      </c>
      <c r="K98" s="23">
        <f>J98/62000000</f>
        <v/>
      </c>
    </row>
    <row r="99">
      <c r="A99" s="24" t="n">
        <v>46447</v>
      </c>
      <c r="B99" s="9">
        <f>SUMIFS($I$5:$I$89,$A$5:$A$89,$A99,$C$5:$C$89,B$94)</f>
        <v/>
      </c>
      <c r="C99" s="9">
        <f>SUMIFS($I$5:$I$89,$A$5:$A$89,$A99,$C$5:$C$89,C$94)</f>
        <v/>
      </c>
      <c r="D99" s="9">
        <f>SUMIFS($I$5:$I$89,$A$5:$A$89,$A99,$C$5:$C$89,D$94)</f>
        <v/>
      </c>
      <c r="E99" s="9">
        <f>SUMIFS($I$5:$I$89,$A$5:$A$89,$A99,$C$5:$C$89,E$94)</f>
        <v/>
      </c>
      <c r="F99" s="9">
        <f>SUMIFS($I$5:$I$89,$A$5:$A$89,$A99,$C$5:$C$89,F$94)</f>
        <v/>
      </c>
      <c r="G99" s="9">
        <f>SUMIFS($I$5:$I$89,$A$5:$A$89,$A99,$C$5:$C$89,G$94)</f>
        <v/>
      </c>
      <c r="H99" s="9">
        <f>SUMIFS($I$5:$I$89,$A$5:$A$89,$A99,$C$5:$C$89,H$94)</f>
        <v/>
      </c>
      <c r="I99" s="9">
        <f>SUM(B99:H99)</f>
        <v/>
      </c>
      <c r="J99" s="9">
        <f>SUM(I$95:I99)</f>
        <v/>
      </c>
      <c r="K99" s="23">
        <f>J99/62000000</f>
        <v/>
      </c>
    </row>
    <row r="100">
      <c r="A100" s="24" t="n">
        <v>46478</v>
      </c>
      <c r="B100" s="9">
        <f>SUMIFS($I$5:$I$89,$A$5:$A$89,$A100,$C$5:$C$89,B$94)</f>
        <v/>
      </c>
      <c r="C100" s="9">
        <f>SUMIFS($I$5:$I$89,$A$5:$A$89,$A100,$C$5:$C$89,C$94)</f>
        <v/>
      </c>
      <c r="D100" s="9">
        <f>SUMIFS($I$5:$I$89,$A$5:$A$89,$A100,$C$5:$C$89,D$94)</f>
        <v/>
      </c>
      <c r="E100" s="9">
        <f>SUMIFS($I$5:$I$89,$A$5:$A$89,$A100,$C$5:$C$89,E$94)</f>
        <v/>
      </c>
      <c r="F100" s="9">
        <f>SUMIFS($I$5:$I$89,$A$5:$A$89,$A100,$C$5:$C$89,F$94)</f>
        <v/>
      </c>
      <c r="G100" s="9">
        <f>SUMIFS($I$5:$I$89,$A$5:$A$89,$A100,$C$5:$C$89,G$94)</f>
        <v/>
      </c>
      <c r="H100" s="9">
        <f>SUMIFS($I$5:$I$89,$A$5:$A$89,$A100,$C$5:$C$89,H$94)</f>
        <v/>
      </c>
      <c r="I100" s="9">
        <f>SUM(B100:H100)</f>
        <v/>
      </c>
      <c r="J100" s="9">
        <f>SUM(I$95:I100)</f>
        <v/>
      </c>
      <c r="K100" s="23">
        <f>J100/62000000</f>
        <v/>
      </c>
    </row>
    <row r="101">
      <c r="A101" s="24" t="n">
        <v>46508</v>
      </c>
      <c r="B101" s="9">
        <f>SUMIFS($I$5:$I$89,$A$5:$A$89,$A101,$C$5:$C$89,B$94)</f>
        <v/>
      </c>
      <c r="C101" s="9">
        <f>SUMIFS($I$5:$I$89,$A$5:$A$89,$A101,$C$5:$C$89,C$94)</f>
        <v/>
      </c>
      <c r="D101" s="9">
        <f>SUMIFS($I$5:$I$89,$A$5:$A$89,$A101,$C$5:$C$89,D$94)</f>
        <v/>
      </c>
      <c r="E101" s="9">
        <f>SUMIFS($I$5:$I$89,$A$5:$A$89,$A101,$C$5:$C$89,E$94)</f>
        <v/>
      </c>
      <c r="F101" s="9">
        <f>SUMIFS($I$5:$I$89,$A$5:$A$89,$A101,$C$5:$C$89,F$94)</f>
        <v/>
      </c>
      <c r="G101" s="9">
        <f>SUMIFS($I$5:$I$89,$A$5:$A$89,$A101,$C$5:$C$89,G$94)</f>
        <v/>
      </c>
      <c r="H101" s="9">
        <f>SUMIFS($I$5:$I$89,$A$5:$A$89,$A101,$C$5:$C$89,H$94)</f>
        <v/>
      </c>
      <c r="I101" s="9">
        <f>SUM(B101:H101)</f>
        <v/>
      </c>
      <c r="J101" s="9">
        <f>SUM(I$95:I101)</f>
        <v/>
      </c>
      <c r="K101" s="23">
        <f>J101/62000000</f>
        <v/>
      </c>
    </row>
    <row r="102">
      <c r="A102" s="24" t="n">
        <v>46539</v>
      </c>
      <c r="B102" s="9">
        <f>SUMIFS($I$5:$I$89,$A$5:$A$89,$A102,$C$5:$C$89,B$94)</f>
        <v/>
      </c>
      <c r="C102" s="9">
        <f>SUMIFS($I$5:$I$89,$A$5:$A$89,$A102,$C$5:$C$89,C$94)</f>
        <v/>
      </c>
      <c r="D102" s="9">
        <f>SUMIFS($I$5:$I$89,$A$5:$A$89,$A102,$C$5:$C$89,D$94)</f>
        <v/>
      </c>
      <c r="E102" s="9">
        <f>SUMIFS($I$5:$I$89,$A$5:$A$89,$A102,$C$5:$C$89,E$94)</f>
        <v/>
      </c>
      <c r="F102" s="9">
        <f>SUMIFS($I$5:$I$89,$A$5:$A$89,$A102,$C$5:$C$89,F$94)</f>
        <v/>
      </c>
      <c r="G102" s="9">
        <f>SUMIFS($I$5:$I$89,$A$5:$A$89,$A102,$C$5:$C$89,G$94)</f>
        <v/>
      </c>
      <c r="H102" s="9">
        <f>SUMIFS($I$5:$I$89,$A$5:$A$89,$A102,$C$5:$C$89,H$94)</f>
        <v/>
      </c>
      <c r="I102" s="9">
        <f>SUM(B102:H102)</f>
        <v/>
      </c>
      <c r="J102" s="9">
        <f>SUM(I$95:I102)</f>
        <v/>
      </c>
      <c r="K102" s="23">
        <f>J102/62000000</f>
        <v/>
      </c>
    </row>
    <row r="103">
      <c r="A103" s="24" t="n">
        <v>46569</v>
      </c>
      <c r="B103" s="9">
        <f>SUMIFS($I$5:$I$89,$A$5:$A$89,$A103,$C$5:$C$89,B$94)</f>
        <v/>
      </c>
      <c r="C103" s="9">
        <f>SUMIFS($I$5:$I$89,$A$5:$A$89,$A103,$C$5:$C$89,C$94)</f>
        <v/>
      </c>
      <c r="D103" s="9">
        <f>SUMIFS($I$5:$I$89,$A$5:$A$89,$A103,$C$5:$C$89,D$94)</f>
        <v/>
      </c>
      <c r="E103" s="9">
        <f>SUMIFS($I$5:$I$89,$A$5:$A$89,$A103,$C$5:$C$89,E$94)</f>
        <v/>
      </c>
      <c r="F103" s="9">
        <f>SUMIFS($I$5:$I$89,$A$5:$A$89,$A103,$C$5:$C$89,F$94)</f>
        <v/>
      </c>
      <c r="G103" s="9">
        <f>SUMIFS($I$5:$I$89,$A$5:$A$89,$A103,$C$5:$C$89,G$94)</f>
        <v/>
      </c>
      <c r="H103" s="9">
        <f>SUMIFS($I$5:$I$89,$A$5:$A$89,$A103,$C$5:$C$89,H$94)</f>
        <v/>
      </c>
      <c r="I103" s="9">
        <f>SUM(B103:H103)</f>
        <v/>
      </c>
      <c r="J103" s="9">
        <f>SUM(I$95:I103)</f>
        <v/>
      </c>
      <c r="K103" s="23">
        <f>J103/62000000</f>
        <v/>
      </c>
    </row>
    <row r="104">
      <c r="A104" s="24" t="n">
        <v>46600</v>
      </c>
      <c r="B104" s="9">
        <f>SUMIFS($I$5:$I$89,$A$5:$A$89,$A104,$C$5:$C$89,B$94)</f>
        <v/>
      </c>
      <c r="C104" s="9">
        <f>SUMIFS($I$5:$I$89,$A$5:$A$89,$A104,$C$5:$C$89,C$94)</f>
        <v/>
      </c>
      <c r="D104" s="9">
        <f>SUMIFS($I$5:$I$89,$A$5:$A$89,$A104,$C$5:$C$89,D$94)</f>
        <v/>
      </c>
      <c r="E104" s="9">
        <f>SUMIFS($I$5:$I$89,$A$5:$A$89,$A104,$C$5:$C$89,E$94)</f>
        <v/>
      </c>
      <c r="F104" s="9">
        <f>SUMIFS($I$5:$I$89,$A$5:$A$89,$A104,$C$5:$C$89,F$94)</f>
        <v/>
      </c>
      <c r="G104" s="9">
        <f>SUMIFS($I$5:$I$89,$A$5:$A$89,$A104,$C$5:$C$89,G$94)</f>
        <v/>
      </c>
      <c r="H104" s="9">
        <f>SUMIFS($I$5:$I$89,$A$5:$A$89,$A104,$C$5:$C$89,H$94)</f>
        <v/>
      </c>
      <c r="I104" s="9">
        <f>SUM(B104:H104)</f>
        <v/>
      </c>
      <c r="J104" s="9">
        <f>SUM(I$95:I104)</f>
        <v/>
      </c>
      <c r="K104" s="23">
        <f>J104/62000000</f>
        <v/>
      </c>
    </row>
    <row r="105">
      <c r="A105" s="24" t="n">
        <v>46631</v>
      </c>
      <c r="B105" s="9">
        <f>SUMIFS($I$5:$I$89,$A$5:$A$89,$A105,$C$5:$C$89,B$94)</f>
        <v/>
      </c>
      <c r="C105" s="9">
        <f>SUMIFS($I$5:$I$89,$A$5:$A$89,$A105,$C$5:$C$89,C$94)</f>
        <v/>
      </c>
      <c r="D105" s="9">
        <f>SUMIFS($I$5:$I$89,$A$5:$A$89,$A105,$C$5:$C$89,D$94)</f>
        <v/>
      </c>
      <c r="E105" s="9">
        <f>SUMIFS($I$5:$I$89,$A$5:$A$89,$A105,$C$5:$C$89,E$94)</f>
        <v/>
      </c>
      <c r="F105" s="9">
        <f>SUMIFS($I$5:$I$89,$A$5:$A$89,$A105,$C$5:$C$89,F$94)</f>
        <v/>
      </c>
      <c r="G105" s="9">
        <f>SUMIFS($I$5:$I$89,$A$5:$A$89,$A105,$C$5:$C$89,G$94)</f>
        <v/>
      </c>
      <c r="H105" s="9">
        <f>SUMIFS($I$5:$I$89,$A$5:$A$89,$A105,$C$5:$C$89,H$94)</f>
        <v/>
      </c>
      <c r="I105" s="9">
        <f>SUM(B105:H105)</f>
        <v/>
      </c>
      <c r="J105" s="9">
        <f>SUM(I$95:I105)</f>
        <v/>
      </c>
      <c r="K105" s="23">
        <f>J105/62000000</f>
        <v/>
      </c>
    </row>
    <row r="106">
      <c r="A106" s="24" t="n">
        <v>46661</v>
      </c>
      <c r="B106" s="9">
        <f>SUMIFS($I$5:$I$89,$A$5:$A$89,$A106,$C$5:$C$89,B$94)</f>
        <v/>
      </c>
      <c r="C106" s="9">
        <f>SUMIFS($I$5:$I$89,$A$5:$A$89,$A106,$C$5:$C$89,C$94)</f>
        <v/>
      </c>
      <c r="D106" s="9">
        <f>SUMIFS($I$5:$I$89,$A$5:$A$89,$A106,$C$5:$C$89,D$94)</f>
        <v/>
      </c>
      <c r="E106" s="9">
        <f>SUMIFS($I$5:$I$89,$A$5:$A$89,$A106,$C$5:$C$89,E$94)</f>
        <v/>
      </c>
      <c r="F106" s="9">
        <f>SUMIFS($I$5:$I$89,$A$5:$A$89,$A106,$C$5:$C$89,F$94)</f>
        <v/>
      </c>
      <c r="G106" s="9">
        <f>SUMIFS($I$5:$I$89,$A$5:$A$89,$A106,$C$5:$C$89,G$94)</f>
        <v/>
      </c>
      <c r="H106" s="9">
        <f>SUMIFS($I$5:$I$89,$A$5:$A$89,$A106,$C$5:$C$89,H$94)</f>
        <v/>
      </c>
      <c r="I106" s="9">
        <f>SUM(B106:H106)</f>
        <v/>
      </c>
      <c r="J106" s="9">
        <f>SUM(I$95:I106)</f>
        <v/>
      </c>
      <c r="K106" s="23">
        <f>J106/62000000</f>
        <v/>
      </c>
    </row>
    <row r="107">
      <c r="A107" s="24" t="n">
        <v>46692</v>
      </c>
      <c r="B107" s="9">
        <f>SUMIFS($I$5:$I$89,$A$5:$A$89,$A107,$C$5:$C$89,B$94)</f>
        <v/>
      </c>
      <c r="C107" s="9">
        <f>SUMIFS($I$5:$I$89,$A$5:$A$89,$A107,$C$5:$C$89,C$94)</f>
        <v/>
      </c>
      <c r="D107" s="9">
        <f>SUMIFS($I$5:$I$89,$A$5:$A$89,$A107,$C$5:$C$89,D$94)</f>
        <v/>
      </c>
      <c r="E107" s="9">
        <f>SUMIFS($I$5:$I$89,$A$5:$A$89,$A107,$C$5:$C$89,E$94)</f>
        <v/>
      </c>
      <c r="F107" s="9">
        <f>SUMIFS($I$5:$I$89,$A$5:$A$89,$A107,$C$5:$C$89,F$94)</f>
        <v/>
      </c>
      <c r="G107" s="9">
        <f>SUMIFS($I$5:$I$89,$A$5:$A$89,$A107,$C$5:$C$89,G$94)</f>
        <v/>
      </c>
      <c r="H107" s="9">
        <f>SUMIFS($I$5:$I$89,$A$5:$A$89,$A107,$C$5:$C$89,H$94)</f>
        <v/>
      </c>
      <c r="I107" s="9">
        <f>SUM(B107:H107)</f>
        <v/>
      </c>
      <c r="J107" s="9">
        <f>SUM(I$95:I107)</f>
        <v/>
      </c>
      <c r="K107" s="23">
        <f>J107/62000000</f>
        <v/>
      </c>
    </row>
    <row r="108">
      <c r="A108" s="24" t="n">
        <v>46722</v>
      </c>
      <c r="B108" s="9">
        <f>SUMIFS($I$5:$I$89,$A$5:$A$89,$A108,$C$5:$C$89,B$94)</f>
        <v/>
      </c>
      <c r="C108" s="9">
        <f>SUMIFS($I$5:$I$89,$A$5:$A$89,$A108,$C$5:$C$89,C$94)</f>
        <v/>
      </c>
      <c r="D108" s="9">
        <f>SUMIFS($I$5:$I$89,$A$5:$A$89,$A108,$C$5:$C$89,D$94)</f>
        <v/>
      </c>
      <c r="E108" s="9">
        <f>SUMIFS($I$5:$I$89,$A$5:$A$89,$A108,$C$5:$C$89,E$94)</f>
        <v/>
      </c>
      <c r="F108" s="9">
        <f>SUMIFS($I$5:$I$89,$A$5:$A$89,$A108,$C$5:$C$89,F$94)</f>
        <v/>
      </c>
      <c r="G108" s="9">
        <f>SUMIFS($I$5:$I$89,$A$5:$A$89,$A108,$C$5:$C$89,G$94)</f>
        <v/>
      </c>
      <c r="H108" s="9">
        <f>SUMIFS($I$5:$I$89,$A$5:$A$89,$A108,$C$5:$C$89,H$94)</f>
        <v/>
      </c>
      <c r="I108" s="9">
        <f>SUM(B108:H108)</f>
        <v/>
      </c>
      <c r="J108" s="9">
        <f>SUM(I$95:I108)</f>
        <v/>
      </c>
      <c r="K108" s="23">
        <f>J108/62000000</f>
        <v/>
      </c>
    </row>
    <row r="109">
      <c r="A109" s="24" t="n">
        <v>46753</v>
      </c>
      <c r="B109" s="9">
        <f>SUMIFS($I$5:$I$89,$A$5:$A$89,$A109,$C$5:$C$89,B$94)</f>
        <v/>
      </c>
      <c r="C109" s="9">
        <f>SUMIFS($I$5:$I$89,$A$5:$A$89,$A109,$C$5:$C$89,C$94)</f>
        <v/>
      </c>
      <c r="D109" s="9">
        <f>SUMIFS($I$5:$I$89,$A$5:$A$89,$A109,$C$5:$C$89,D$94)</f>
        <v/>
      </c>
      <c r="E109" s="9">
        <f>SUMIFS($I$5:$I$89,$A$5:$A$89,$A109,$C$5:$C$89,E$94)</f>
        <v/>
      </c>
      <c r="F109" s="9">
        <f>SUMIFS($I$5:$I$89,$A$5:$A$89,$A109,$C$5:$C$89,F$94)</f>
        <v/>
      </c>
      <c r="G109" s="9">
        <f>SUMIFS($I$5:$I$89,$A$5:$A$89,$A109,$C$5:$C$89,G$94)</f>
        <v/>
      </c>
      <c r="H109" s="9">
        <f>SUMIFS($I$5:$I$89,$A$5:$A$89,$A109,$C$5:$C$89,H$94)</f>
        <v/>
      </c>
      <c r="I109" s="9">
        <f>SUM(B109:H109)</f>
        <v/>
      </c>
      <c r="J109" s="9">
        <f>SUM(I$95:I109)</f>
        <v/>
      </c>
      <c r="K109" s="23">
        <f>J109/62000000</f>
        <v/>
      </c>
    </row>
    <row r="110">
      <c r="A110" s="24" t="n">
        <v>46784</v>
      </c>
      <c r="B110" s="9">
        <f>SUMIFS($I$5:$I$89,$A$5:$A$89,$A110,$C$5:$C$89,B$94)</f>
        <v/>
      </c>
      <c r="C110" s="9">
        <f>SUMIFS($I$5:$I$89,$A$5:$A$89,$A110,$C$5:$C$89,C$94)</f>
        <v/>
      </c>
      <c r="D110" s="9">
        <f>SUMIFS($I$5:$I$89,$A$5:$A$89,$A110,$C$5:$C$89,D$94)</f>
        <v/>
      </c>
      <c r="E110" s="9">
        <f>SUMIFS($I$5:$I$89,$A$5:$A$89,$A110,$C$5:$C$89,E$94)</f>
        <v/>
      </c>
      <c r="F110" s="9">
        <f>SUMIFS($I$5:$I$89,$A$5:$A$89,$A110,$C$5:$C$89,F$94)</f>
        <v/>
      </c>
      <c r="G110" s="9">
        <f>SUMIFS($I$5:$I$89,$A$5:$A$89,$A110,$C$5:$C$89,G$94)</f>
        <v/>
      </c>
      <c r="H110" s="9">
        <f>SUMIFS($I$5:$I$89,$A$5:$A$89,$A110,$C$5:$C$89,H$94)</f>
        <v/>
      </c>
      <c r="I110" s="9">
        <f>SUM(B110:H110)</f>
        <v/>
      </c>
      <c r="J110" s="9">
        <f>SUM(I$95:I110)</f>
        <v/>
      </c>
      <c r="K110" s="23">
        <f>J110/62000000</f>
        <v/>
      </c>
    </row>
    <row r="111">
      <c r="A111" s="24" t="n">
        <v>46813</v>
      </c>
      <c r="B111" s="9">
        <f>SUMIFS($I$5:$I$89,$A$5:$A$89,$A111,$C$5:$C$89,B$94)</f>
        <v/>
      </c>
      <c r="C111" s="9">
        <f>SUMIFS($I$5:$I$89,$A$5:$A$89,$A111,$C$5:$C$89,C$94)</f>
        <v/>
      </c>
      <c r="D111" s="9">
        <f>SUMIFS($I$5:$I$89,$A$5:$A$89,$A111,$C$5:$C$89,D$94)</f>
        <v/>
      </c>
      <c r="E111" s="9">
        <f>SUMIFS($I$5:$I$89,$A$5:$A$89,$A111,$C$5:$C$89,E$94)</f>
        <v/>
      </c>
      <c r="F111" s="9">
        <f>SUMIFS($I$5:$I$89,$A$5:$A$89,$A111,$C$5:$C$89,F$94)</f>
        <v/>
      </c>
      <c r="G111" s="9">
        <f>SUMIFS($I$5:$I$89,$A$5:$A$89,$A111,$C$5:$C$89,G$94)</f>
        <v/>
      </c>
      <c r="H111" s="9">
        <f>SUMIFS($I$5:$I$89,$A$5:$A$89,$A111,$C$5:$C$89,H$94)</f>
        <v/>
      </c>
      <c r="I111" s="9">
        <f>SUM(B111:H111)</f>
        <v/>
      </c>
      <c r="J111" s="9">
        <f>SUM(I$95:I111)</f>
        <v/>
      </c>
      <c r="K111" s="23">
        <f>J111/62000000</f>
        <v/>
      </c>
    </row>
    <row r="112">
      <c r="A112" s="24" t="n">
        <v>46844</v>
      </c>
      <c r="B112" s="9">
        <f>SUMIFS($I$5:$I$89,$A$5:$A$89,$A112,$C$5:$C$89,B$94)</f>
        <v/>
      </c>
      <c r="C112" s="9">
        <f>SUMIFS($I$5:$I$89,$A$5:$A$89,$A112,$C$5:$C$89,C$94)</f>
        <v/>
      </c>
      <c r="D112" s="9">
        <f>SUMIFS($I$5:$I$89,$A$5:$A$89,$A112,$C$5:$C$89,D$94)</f>
        <v/>
      </c>
      <c r="E112" s="9">
        <f>SUMIFS($I$5:$I$89,$A$5:$A$89,$A112,$C$5:$C$89,E$94)</f>
        <v/>
      </c>
      <c r="F112" s="9">
        <f>SUMIFS($I$5:$I$89,$A$5:$A$89,$A112,$C$5:$C$89,F$94)</f>
        <v/>
      </c>
      <c r="G112" s="9">
        <f>SUMIFS($I$5:$I$89,$A$5:$A$89,$A112,$C$5:$C$89,G$94)</f>
        <v/>
      </c>
      <c r="H112" s="9">
        <f>SUMIFS($I$5:$I$89,$A$5:$A$89,$A112,$C$5:$C$89,H$94)</f>
        <v/>
      </c>
      <c r="I112" s="9">
        <f>SUM(B112:H112)</f>
        <v/>
      </c>
      <c r="J112" s="9">
        <f>SUM(I$95:I112)</f>
        <v/>
      </c>
      <c r="K112" s="23">
        <f>J112/62000000</f>
        <v/>
      </c>
    </row>
    <row r="113">
      <c r="A113" s="24" t="n">
        <v>46874</v>
      </c>
      <c r="B113" s="9">
        <f>SUMIFS($I$5:$I$89,$A$5:$A$89,$A113,$C$5:$C$89,B$94)</f>
        <v/>
      </c>
      <c r="C113" s="9">
        <f>SUMIFS($I$5:$I$89,$A$5:$A$89,$A113,$C$5:$C$89,C$94)</f>
        <v/>
      </c>
      <c r="D113" s="9">
        <f>SUMIFS($I$5:$I$89,$A$5:$A$89,$A113,$C$5:$C$89,D$94)</f>
        <v/>
      </c>
      <c r="E113" s="9">
        <f>SUMIFS($I$5:$I$89,$A$5:$A$89,$A113,$C$5:$C$89,E$94)</f>
        <v/>
      </c>
      <c r="F113" s="9">
        <f>SUMIFS($I$5:$I$89,$A$5:$A$89,$A113,$C$5:$C$89,F$94)</f>
        <v/>
      </c>
      <c r="G113" s="9">
        <f>SUMIFS($I$5:$I$89,$A$5:$A$89,$A113,$C$5:$C$89,G$94)</f>
        <v/>
      </c>
      <c r="H113" s="9">
        <f>SUMIFS($I$5:$I$89,$A$5:$A$89,$A113,$C$5:$C$89,H$94)</f>
        <v/>
      </c>
      <c r="I113" s="9">
        <f>SUM(B113:H113)</f>
        <v/>
      </c>
      <c r="J113" s="9">
        <f>SUM(I$95:I113)</f>
        <v/>
      </c>
      <c r="K113" s="23">
        <f>J113/62000000</f>
        <v/>
      </c>
    </row>
    <row r="114">
      <c r="A114" s="24" t="n">
        <v>46905</v>
      </c>
      <c r="B114" s="9">
        <f>SUMIFS($I$5:$I$89,$A$5:$A$89,$A114,$C$5:$C$89,B$94)</f>
        <v/>
      </c>
      <c r="C114" s="9">
        <f>SUMIFS($I$5:$I$89,$A$5:$A$89,$A114,$C$5:$C$89,C$94)</f>
        <v/>
      </c>
      <c r="D114" s="9">
        <f>SUMIFS($I$5:$I$89,$A$5:$A$89,$A114,$C$5:$C$89,D$94)</f>
        <v/>
      </c>
      <c r="E114" s="9">
        <f>SUMIFS($I$5:$I$89,$A$5:$A$89,$A114,$C$5:$C$89,E$94)</f>
        <v/>
      </c>
      <c r="F114" s="9">
        <f>SUMIFS($I$5:$I$89,$A$5:$A$89,$A114,$C$5:$C$89,F$94)</f>
        <v/>
      </c>
      <c r="G114" s="9">
        <f>SUMIFS($I$5:$I$89,$A$5:$A$89,$A114,$C$5:$C$89,G$94)</f>
        <v/>
      </c>
      <c r="H114" s="9">
        <f>SUMIFS($I$5:$I$89,$A$5:$A$89,$A114,$C$5:$C$89,H$94)</f>
        <v/>
      </c>
      <c r="I114" s="9">
        <f>SUM(B114:H114)</f>
        <v/>
      </c>
      <c r="J114" s="9">
        <f>SUM(I$95:I114)</f>
        <v/>
      </c>
      <c r="K114" s="23">
        <f>J114/62000000</f>
        <v/>
      </c>
    </row>
    <row r="115">
      <c r="A115" s="24" t="n">
        <v>46935</v>
      </c>
      <c r="B115" s="9">
        <f>SUMIFS($I$5:$I$89,$A$5:$A$89,$A115,$C$5:$C$89,B$94)</f>
        <v/>
      </c>
      <c r="C115" s="9">
        <f>SUMIFS($I$5:$I$89,$A$5:$A$89,$A115,$C$5:$C$89,C$94)</f>
        <v/>
      </c>
      <c r="D115" s="9">
        <f>SUMIFS($I$5:$I$89,$A$5:$A$89,$A115,$C$5:$C$89,D$94)</f>
        <v/>
      </c>
      <c r="E115" s="9">
        <f>SUMIFS($I$5:$I$89,$A$5:$A$89,$A115,$C$5:$C$89,E$94)</f>
        <v/>
      </c>
      <c r="F115" s="9">
        <f>SUMIFS($I$5:$I$89,$A$5:$A$89,$A115,$C$5:$C$89,F$94)</f>
        <v/>
      </c>
      <c r="G115" s="9">
        <f>SUMIFS($I$5:$I$89,$A$5:$A$89,$A115,$C$5:$C$89,G$94)</f>
        <v/>
      </c>
      <c r="H115" s="9">
        <f>SUMIFS($I$5:$I$89,$A$5:$A$89,$A115,$C$5:$C$89,H$94)</f>
        <v/>
      </c>
      <c r="I115" s="9">
        <f>SUM(B115:H115)</f>
        <v/>
      </c>
      <c r="J115" s="9">
        <f>SUM(I$95:I115)</f>
        <v/>
      </c>
      <c r="K115" s="23">
        <f>J115/62000000</f>
        <v/>
      </c>
    </row>
    <row r="116">
      <c r="A116" s="24" t="n">
        <v>46966</v>
      </c>
      <c r="B116" s="9">
        <f>SUMIFS($I$5:$I$89,$A$5:$A$89,$A116,$C$5:$C$89,B$94)</f>
        <v/>
      </c>
      <c r="C116" s="9">
        <f>SUMIFS($I$5:$I$89,$A$5:$A$89,$A116,$C$5:$C$89,C$94)</f>
        <v/>
      </c>
      <c r="D116" s="9">
        <f>SUMIFS($I$5:$I$89,$A$5:$A$89,$A116,$C$5:$C$89,D$94)</f>
        <v/>
      </c>
      <c r="E116" s="9">
        <f>SUMIFS($I$5:$I$89,$A$5:$A$89,$A116,$C$5:$C$89,E$94)</f>
        <v/>
      </c>
      <c r="F116" s="9">
        <f>SUMIFS($I$5:$I$89,$A$5:$A$89,$A116,$C$5:$C$89,F$94)</f>
        <v/>
      </c>
      <c r="G116" s="9">
        <f>SUMIFS($I$5:$I$89,$A$5:$A$89,$A116,$C$5:$C$89,G$94)</f>
        <v/>
      </c>
      <c r="H116" s="9">
        <f>SUMIFS($I$5:$I$89,$A$5:$A$89,$A116,$C$5:$C$89,H$94)</f>
        <v/>
      </c>
      <c r="I116" s="9">
        <f>SUM(B116:H116)</f>
        <v/>
      </c>
      <c r="J116" s="9">
        <f>SUM(I$95:I116)</f>
        <v/>
      </c>
      <c r="K116" s="23">
        <f>J116/62000000</f>
        <v/>
      </c>
    </row>
    <row r="117">
      <c r="A117" s="24" t="n">
        <v>46997</v>
      </c>
      <c r="B117" s="9">
        <f>SUMIFS($I$5:$I$89,$A$5:$A$89,$A117,$C$5:$C$89,B$94)</f>
        <v/>
      </c>
      <c r="C117" s="9">
        <f>SUMIFS($I$5:$I$89,$A$5:$A$89,$A117,$C$5:$C$89,C$94)</f>
        <v/>
      </c>
      <c r="D117" s="9">
        <f>SUMIFS($I$5:$I$89,$A$5:$A$89,$A117,$C$5:$C$89,D$94)</f>
        <v/>
      </c>
      <c r="E117" s="9">
        <f>SUMIFS($I$5:$I$89,$A$5:$A$89,$A117,$C$5:$C$89,E$94)</f>
        <v/>
      </c>
      <c r="F117" s="9">
        <f>SUMIFS($I$5:$I$89,$A$5:$A$89,$A117,$C$5:$C$89,F$94)</f>
        <v/>
      </c>
      <c r="G117" s="9">
        <f>SUMIFS($I$5:$I$89,$A$5:$A$89,$A117,$C$5:$C$89,G$94)</f>
        <v/>
      </c>
      <c r="H117" s="9">
        <f>SUMIFS($I$5:$I$89,$A$5:$A$89,$A117,$C$5:$C$89,H$94)</f>
        <v/>
      </c>
      <c r="I117" s="9">
        <f>SUM(B117:H117)</f>
        <v/>
      </c>
      <c r="J117" s="9">
        <f>SUM(I$95:I117)</f>
        <v/>
      </c>
      <c r="K117" s="23">
        <f>J117/62000000</f>
        <v/>
      </c>
    </row>
    <row r="118">
      <c r="A118" s="24" t="n">
        <v>47027</v>
      </c>
      <c r="B118" s="9">
        <f>SUMIFS($I$5:$I$89,$A$5:$A$89,$A118,$C$5:$C$89,B$94)</f>
        <v/>
      </c>
      <c r="C118" s="9">
        <f>SUMIFS($I$5:$I$89,$A$5:$A$89,$A118,$C$5:$C$89,C$94)</f>
        <v/>
      </c>
      <c r="D118" s="9">
        <f>SUMIFS($I$5:$I$89,$A$5:$A$89,$A118,$C$5:$C$89,D$94)</f>
        <v/>
      </c>
      <c r="E118" s="9">
        <f>SUMIFS($I$5:$I$89,$A$5:$A$89,$A118,$C$5:$C$89,E$94)</f>
        <v/>
      </c>
      <c r="F118" s="9">
        <f>SUMIFS($I$5:$I$89,$A$5:$A$89,$A118,$C$5:$C$89,F$94)</f>
        <v/>
      </c>
      <c r="G118" s="9">
        <f>SUMIFS($I$5:$I$89,$A$5:$A$89,$A118,$C$5:$C$89,G$94)</f>
        <v/>
      </c>
      <c r="H118" s="9">
        <f>SUMIFS($I$5:$I$89,$A$5:$A$89,$A118,$C$5:$C$89,H$94)</f>
        <v/>
      </c>
      <c r="I118" s="9">
        <f>SUM(B118:H118)</f>
        <v/>
      </c>
      <c r="J118" s="9">
        <f>SUM(I$95:I118)</f>
        <v/>
      </c>
      <c r="K118" s="23">
        <f>J118/62000000</f>
        <v/>
      </c>
    </row>
    <row r="119">
      <c r="A119" s="24" t="n">
        <v>47058</v>
      </c>
      <c r="B119" s="9">
        <f>SUMIFS($I$5:$I$89,$A$5:$A$89,$A119,$C$5:$C$89,B$94)</f>
        <v/>
      </c>
      <c r="C119" s="9">
        <f>SUMIFS($I$5:$I$89,$A$5:$A$89,$A119,$C$5:$C$89,C$94)</f>
        <v/>
      </c>
      <c r="D119" s="9">
        <f>SUMIFS($I$5:$I$89,$A$5:$A$89,$A119,$C$5:$C$89,D$94)</f>
        <v/>
      </c>
      <c r="E119" s="9">
        <f>SUMIFS($I$5:$I$89,$A$5:$A$89,$A119,$C$5:$C$89,E$94)</f>
        <v/>
      </c>
      <c r="F119" s="9">
        <f>SUMIFS($I$5:$I$89,$A$5:$A$89,$A119,$C$5:$C$89,F$94)</f>
        <v/>
      </c>
      <c r="G119" s="9">
        <f>SUMIFS($I$5:$I$89,$A$5:$A$89,$A119,$C$5:$C$89,G$94)</f>
        <v/>
      </c>
      <c r="H119" s="9">
        <f>SUMIFS($I$5:$I$89,$A$5:$A$89,$A119,$C$5:$C$89,H$94)</f>
        <v/>
      </c>
      <c r="I119" s="9">
        <f>SUM(B119:H119)</f>
        <v/>
      </c>
      <c r="J119" s="9">
        <f>SUM(I$95:I119)</f>
        <v/>
      </c>
      <c r="K119" s="23">
        <f>J119/62000000</f>
        <v/>
      </c>
    </row>
    <row r="120">
      <c r="A120" s="24" t="n">
        <v>47088</v>
      </c>
      <c r="B120" s="9">
        <f>SUMIFS($I$5:$I$89,$A$5:$A$89,$A120,$C$5:$C$89,B$94)</f>
        <v/>
      </c>
      <c r="C120" s="9">
        <f>SUMIFS($I$5:$I$89,$A$5:$A$89,$A120,$C$5:$C$89,C$94)</f>
        <v/>
      </c>
      <c r="D120" s="9">
        <f>SUMIFS($I$5:$I$89,$A$5:$A$89,$A120,$C$5:$C$89,D$94)</f>
        <v/>
      </c>
      <c r="E120" s="9">
        <f>SUMIFS($I$5:$I$89,$A$5:$A$89,$A120,$C$5:$C$89,E$94)</f>
        <v/>
      </c>
      <c r="F120" s="9">
        <f>SUMIFS($I$5:$I$89,$A$5:$A$89,$A120,$C$5:$C$89,F$94)</f>
        <v/>
      </c>
      <c r="G120" s="9">
        <f>SUMIFS($I$5:$I$89,$A$5:$A$89,$A120,$C$5:$C$89,G$94)</f>
        <v/>
      </c>
      <c r="H120" s="9">
        <f>SUMIFS($I$5:$I$89,$A$5:$A$89,$A120,$C$5:$C$89,H$94)</f>
        <v/>
      </c>
      <c r="I120" s="9">
        <f>SUM(B120:H120)</f>
        <v/>
      </c>
      <c r="J120" s="9">
        <f>SUM(I$95:I120)</f>
        <v/>
      </c>
      <c r="K120" s="23">
        <f>J120/62000000</f>
        <v/>
      </c>
    </row>
    <row r="121">
      <c r="A121" s="24" t="n">
        <v>47119</v>
      </c>
      <c r="B121" s="9">
        <f>SUMIFS($I$5:$I$89,$A$5:$A$89,$A121,$C$5:$C$89,B$94)</f>
        <v/>
      </c>
      <c r="C121" s="9">
        <f>SUMIFS($I$5:$I$89,$A$5:$A$89,$A121,$C$5:$C$89,C$94)</f>
        <v/>
      </c>
      <c r="D121" s="9">
        <f>SUMIFS($I$5:$I$89,$A$5:$A$89,$A121,$C$5:$C$89,D$94)</f>
        <v/>
      </c>
      <c r="E121" s="9">
        <f>SUMIFS($I$5:$I$89,$A$5:$A$89,$A121,$C$5:$C$89,E$94)</f>
        <v/>
      </c>
      <c r="F121" s="9">
        <f>SUMIFS($I$5:$I$89,$A$5:$A$89,$A121,$C$5:$C$89,F$94)</f>
        <v/>
      </c>
      <c r="G121" s="9">
        <f>SUMIFS($I$5:$I$89,$A$5:$A$89,$A121,$C$5:$C$89,G$94)</f>
        <v/>
      </c>
      <c r="H121" s="9">
        <f>SUMIFS($I$5:$I$89,$A$5:$A$89,$A121,$C$5:$C$89,H$94)</f>
        <v/>
      </c>
      <c r="I121" s="9">
        <f>SUM(B121:H121)</f>
        <v/>
      </c>
      <c r="J121" s="9">
        <f>SUM(I$95:I121)</f>
        <v/>
      </c>
      <c r="K121" s="23">
        <f>J121/62000000</f>
        <v/>
      </c>
    </row>
    <row r="122">
      <c r="A122" s="24" t="n">
        <v>47150</v>
      </c>
      <c r="B122" s="9">
        <f>SUMIFS($I$5:$I$89,$A$5:$A$89,$A122,$C$5:$C$89,B$94)</f>
        <v/>
      </c>
      <c r="C122" s="9">
        <f>SUMIFS($I$5:$I$89,$A$5:$A$89,$A122,$C$5:$C$89,C$94)</f>
        <v/>
      </c>
      <c r="D122" s="9">
        <f>SUMIFS($I$5:$I$89,$A$5:$A$89,$A122,$C$5:$C$89,D$94)</f>
        <v/>
      </c>
      <c r="E122" s="9">
        <f>SUMIFS($I$5:$I$89,$A$5:$A$89,$A122,$C$5:$C$89,E$94)</f>
        <v/>
      </c>
      <c r="F122" s="9">
        <f>SUMIFS($I$5:$I$89,$A$5:$A$89,$A122,$C$5:$C$89,F$94)</f>
        <v/>
      </c>
      <c r="G122" s="9">
        <f>SUMIFS($I$5:$I$89,$A$5:$A$89,$A122,$C$5:$C$89,G$94)</f>
        <v/>
      </c>
      <c r="H122" s="9">
        <f>SUMIFS($I$5:$I$89,$A$5:$A$89,$A122,$C$5:$C$89,H$94)</f>
        <v/>
      </c>
      <c r="I122" s="9">
        <f>SUM(B122:H122)</f>
        <v/>
      </c>
      <c r="J122" s="9">
        <f>SUM(I$95:I122)</f>
        <v/>
      </c>
      <c r="K122" s="23">
        <f>J122/62000000</f>
        <v/>
      </c>
    </row>
    <row r="123">
      <c r="A123" s="24" t="n">
        <v>47178</v>
      </c>
      <c r="B123" s="9">
        <f>SUMIFS($I$5:$I$89,$A$5:$A$89,$A123,$C$5:$C$89,B$94)</f>
        <v/>
      </c>
      <c r="C123" s="9">
        <f>SUMIFS($I$5:$I$89,$A$5:$A$89,$A123,$C$5:$C$89,C$94)</f>
        <v/>
      </c>
      <c r="D123" s="9">
        <f>SUMIFS($I$5:$I$89,$A$5:$A$89,$A123,$C$5:$C$89,D$94)</f>
        <v/>
      </c>
      <c r="E123" s="9">
        <f>SUMIFS($I$5:$I$89,$A$5:$A$89,$A123,$C$5:$C$89,E$94)</f>
        <v/>
      </c>
      <c r="F123" s="9">
        <f>SUMIFS($I$5:$I$89,$A$5:$A$89,$A123,$C$5:$C$89,F$94)</f>
        <v/>
      </c>
      <c r="G123" s="9">
        <f>SUMIFS($I$5:$I$89,$A$5:$A$89,$A123,$C$5:$C$89,G$94)</f>
        <v/>
      </c>
      <c r="H123" s="9">
        <f>SUMIFS($I$5:$I$89,$A$5:$A$89,$A123,$C$5:$C$89,H$94)</f>
        <v/>
      </c>
      <c r="I123" s="9">
        <f>SUM(B123:H123)</f>
        <v/>
      </c>
      <c r="J123" s="9">
        <f>SUM(I$95:I123)</f>
        <v/>
      </c>
      <c r="K123" s="23">
        <f>J123/62000000</f>
        <v/>
      </c>
    </row>
    <row r="124">
      <c r="A124" s="24" t="n">
        <v>47209</v>
      </c>
      <c r="B124" s="9">
        <f>SUMIFS($I$5:$I$89,$A$5:$A$89,$A124,$C$5:$C$89,B$94)</f>
        <v/>
      </c>
      <c r="C124" s="9">
        <f>SUMIFS($I$5:$I$89,$A$5:$A$89,$A124,$C$5:$C$89,C$94)</f>
        <v/>
      </c>
      <c r="D124" s="9">
        <f>SUMIFS($I$5:$I$89,$A$5:$A$89,$A124,$C$5:$C$89,D$94)</f>
        <v/>
      </c>
      <c r="E124" s="9">
        <f>SUMIFS($I$5:$I$89,$A$5:$A$89,$A124,$C$5:$C$89,E$94)</f>
        <v/>
      </c>
      <c r="F124" s="9">
        <f>SUMIFS($I$5:$I$89,$A$5:$A$89,$A124,$C$5:$C$89,F$94)</f>
        <v/>
      </c>
      <c r="G124" s="9">
        <f>SUMIFS($I$5:$I$89,$A$5:$A$89,$A124,$C$5:$C$89,G$94)</f>
        <v/>
      </c>
      <c r="H124" s="9">
        <f>SUMIFS($I$5:$I$89,$A$5:$A$89,$A124,$C$5:$C$89,H$94)</f>
        <v/>
      </c>
      <c r="I124" s="9">
        <f>SUM(B124:H124)</f>
        <v/>
      </c>
      <c r="J124" s="9">
        <f>SUM(I$95:I124)</f>
        <v/>
      </c>
      <c r="K124" s="23">
        <f>J124/62000000</f>
        <v/>
      </c>
    </row>
    <row r="125">
      <c r="A125" s="24" t="n">
        <v>47239</v>
      </c>
      <c r="B125" s="9">
        <f>SUMIFS($I$5:$I$89,$A$5:$A$89,$A125,$C$5:$C$89,B$94)</f>
        <v/>
      </c>
      <c r="C125" s="9">
        <f>SUMIFS($I$5:$I$89,$A$5:$A$89,$A125,$C$5:$C$89,C$94)</f>
        <v/>
      </c>
      <c r="D125" s="9">
        <f>SUMIFS($I$5:$I$89,$A$5:$A$89,$A125,$C$5:$C$89,D$94)</f>
        <v/>
      </c>
      <c r="E125" s="9">
        <f>SUMIFS($I$5:$I$89,$A$5:$A$89,$A125,$C$5:$C$89,E$94)</f>
        <v/>
      </c>
      <c r="F125" s="9">
        <f>SUMIFS($I$5:$I$89,$A$5:$A$89,$A125,$C$5:$C$89,F$94)</f>
        <v/>
      </c>
      <c r="G125" s="9">
        <f>SUMIFS($I$5:$I$89,$A$5:$A$89,$A125,$C$5:$C$89,G$94)</f>
        <v/>
      </c>
      <c r="H125" s="9">
        <f>SUMIFS($I$5:$I$89,$A$5:$A$89,$A125,$C$5:$C$89,H$94)</f>
        <v/>
      </c>
      <c r="I125" s="9">
        <f>SUM(B125:H125)</f>
        <v/>
      </c>
      <c r="J125" s="9">
        <f>SUM(I$95:I125)</f>
        <v/>
      </c>
      <c r="K125" s="23">
        <f>J125/62000000</f>
        <v/>
      </c>
    </row>
    <row r="126">
      <c r="A126" s="24" t="n">
        <v>47270</v>
      </c>
      <c r="B126" s="9">
        <f>SUMIFS($I$5:$I$89,$A$5:$A$89,$A126,$C$5:$C$89,B$94)</f>
        <v/>
      </c>
      <c r="C126" s="9">
        <f>SUMIFS($I$5:$I$89,$A$5:$A$89,$A126,$C$5:$C$89,C$94)</f>
        <v/>
      </c>
      <c r="D126" s="9">
        <f>SUMIFS($I$5:$I$89,$A$5:$A$89,$A126,$C$5:$C$89,D$94)</f>
        <v/>
      </c>
      <c r="E126" s="9">
        <f>SUMIFS($I$5:$I$89,$A$5:$A$89,$A126,$C$5:$C$89,E$94)</f>
        <v/>
      </c>
      <c r="F126" s="9">
        <f>SUMIFS($I$5:$I$89,$A$5:$A$89,$A126,$C$5:$C$89,F$94)</f>
        <v/>
      </c>
      <c r="G126" s="9">
        <f>SUMIFS($I$5:$I$89,$A$5:$A$89,$A126,$C$5:$C$89,G$94)</f>
        <v/>
      </c>
      <c r="H126" s="9">
        <f>SUMIFS($I$5:$I$89,$A$5:$A$89,$A126,$C$5:$C$89,H$94)</f>
        <v/>
      </c>
      <c r="I126" s="9">
        <f>SUM(B126:H126)</f>
        <v/>
      </c>
      <c r="J126" s="9">
        <f>SUM(I$95:I126)</f>
        <v/>
      </c>
      <c r="K126" s="23">
        <f>J126/62000000</f>
        <v/>
      </c>
    </row>
    <row r="127">
      <c r="A127" s="24" t="n">
        <v>47300</v>
      </c>
      <c r="B127" s="9">
        <f>SUMIFS($I$5:$I$89,$A$5:$A$89,$A127,$C$5:$C$89,B$94)</f>
        <v/>
      </c>
      <c r="C127" s="9">
        <f>SUMIFS($I$5:$I$89,$A$5:$A$89,$A127,$C$5:$C$89,C$94)</f>
        <v/>
      </c>
      <c r="D127" s="9">
        <f>SUMIFS($I$5:$I$89,$A$5:$A$89,$A127,$C$5:$C$89,D$94)</f>
        <v/>
      </c>
      <c r="E127" s="9">
        <f>SUMIFS($I$5:$I$89,$A$5:$A$89,$A127,$C$5:$C$89,E$94)</f>
        <v/>
      </c>
      <c r="F127" s="9">
        <f>SUMIFS($I$5:$I$89,$A$5:$A$89,$A127,$C$5:$C$89,F$94)</f>
        <v/>
      </c>
      <c r="G127" s="9">
        <f>SUMIFS($I$5:$I$89,$A$5:$A$89,$A127,$C$5:$C$89,G$94)</f>
        <v/>
      </c>
      <c r="H127" s="9">
        <f>SUMIFS($I$5:$I$89,$A$5:$A$89,$A127,$C$5:$C$89,H$94)</f>
        <v/>
      </c>
      <c r="I127" s="9">
        <f>SUM(B127:H127)</f>
        <v/>
      </c>
      <c r="J127" s="9">
        <f>SUM(I$95:I127)</f>
        <v/>
      </c>
      <c r="K127" s="23">
        <f>J127/62000000</f>
        <v/>
      </c>
    </row>
    <row r="128">
      <c r="A128" s="24" t="n">
        <v>47331</v>
      </c>
      <c r="B128" s="9">
        <f>SUMIFS($I$5:$I$89,$A$5:$A$89,$A128,$C$5:$C$89,B$94)</f>
        <v/>
      </c>
      <c r="C128" s="9">
        <f>SUMIFS($I$5:$I$89,$A$5:$A$89,$A128,$C$5:$C$89,C$94)</f>
        <v/>
      </c>
      <c r="D128" s="9">
        <f>SUMIFS($I$5:$I$89,$A$5:$A$89,$A128,$C$5:$C$89,D$94)</f>
        <v/>
      </c>
      <c r="E128" s="9">
        <f>SUMIFS($I$5:$I$89,$A$5:$A$89,$A128,$C$5:$C$89,E$94)</f>
        <v/>
      </c>
      <c r="F128" s="9">
        <f>SUMIFS($I$5:$I$89,$A$5:$A$89,$A128,$C$5:$C$89,F$94)</f>
        <v/>
      </c>
      <c r="G128" s="9">
        <f>SUMIFS($I$5:$I$89,$A$5:$A$89,$A128,$C$5:$C$89,G$94)</f>
        <v/>
      </c>
      <c r="H128" s="9">
        <f>SUMIFS($I$5:$I$89,$A$5:$A$89,$A128,$C$5:$C$89,H$94)</f>
        <v/>
      </c>
      <c r="I128" s="9">
        <f>SUM(B128:H128)</f>
        <v/>
      </c>
      <c r="J128" s="9">
        <f>SUM(I$95:I128)</f>
        <v/>
      </c>
      <c r="K128" s="23">
        <f>J128/62000000</f>
        <v/>
      </c>
    </row>
    <row r="129">
      <c r="A129" s="24" t="n">
        <v>47362</v>
      </c>
      <c r="B129" s="9">
        <f>SUMIFS($I$5:$I$89,$A$5:$A$89,$A129,$C$5:$C$89,B$94)</f>
        <v/>
      </c>
      <c r="C129" s="9">
        <f>SUMIFS($I$5:$I$89,$A$5:$A$89,$A129,$C$5:$C$89,C$94)</f>
        <v/>
      </c>
      <c r="D129" s="9">
        <f>SUMIFS($I$5:$I$89,$A$5:$A$89,$A129,$C$5:$C$89,D$94)</f>
        <v/>
      </c>
      <c r="E129" s="9">
        <f>SUMIFS($I$5:$I$89,$A$5:$A$89,$A129,$C$5:$C$89,E$94)</f>
        <v/>
      </c>
      <c r="F129" s="9">
        <f>SUMIFS($I$5:$I$89,$A$5:$A$89,$A129,$C$5:$C$89,F$94)</f>
        <v/>
      </c>
      <c r="G129" s="9">
        <f>SUMIFS($I$5:$I$89,$A$5:$A$89,$A129,$C$5:$C$89,G$94)</f>
        <v/>
      </c>
      <c r="H129" s="9">
        <f>SUMIFS($I$5:$I$89,$A$5:$A$89,$A129,$C$5:$C$89,H$94)</f>
        <v/>
      </c>
      <c r="I129" s="9">
        <f>SUM(B129:H129)</f>
        <v/>
      </c>
      <c r="J129" s="9">
        <f>SUM(I$95:I129)</f>
        <v/>
      </c>
      <c r="K129" s="23">
        <f>J129/62000000</f>
        <v/>
      </c>
    </row>
    <row r="130">
      <c r="A130" s="24" t="n">
        <v>47392</v>
      </c>
      <c r="B130" s="9">
        <f>SUMIFS($I$5:$I$89,$A$5:$A$89,$A130,$C$5:$C$89,B$94)</f>
        <v/>
      </c>
      <c r="C130" s="9">
        <f>SUMIFS($I$5:$I$89,$A$5:$A$89,$A130,$C$5:$C$89,C$94)</f>
        <v/>
      </c>
      <c r="D130" s="9">
        <f>SUMIFS($I$5:$I$89,$A$5:$A$89,$A130,$C$5:$C$89,D$94)</f>
        <v/>
      </c>
      <c r="E130" s="9">
        <f>SUMIFS($I$5:$I$89,$A$5:$A$89,$A130,$C$5:$C$89,E$94)</f>
        <v/>
      </c>
      <c r="F130" s="9">
        <f>SUMIFS($I$5:$I$89,$A$5:$A$89,$A130,$C$5:$C$89,F$94)</f>
        <v/>
      </c>
      <c r="G130" s="9">
        <f>SUMIFS($I$5:$I$89,$A$5:$A$89,$A130,$C$5:$C$89,G$94)</f>
        <v/>
      </c>
      <c r="H130" s="9">
        <f>SUMIFS($I$5:$I$89,$A$5:$A$89,$A130,$C$5:$C$89,H$94)</f>
        <v/>
      </c>
      <c r="I130" s="9">
        <f>SUM(B130:H130)</f>
        <v/>
      </c>
      <c r="J130" s="9">
        <f>SUM(I$95:I130)</f>
        <v/>
      </c>
      <c r="K130" s="23">
        <f>J130/62000000</f>
        <v/>
      </c>
    </row>
    <row r="131">
      <c r="A131" s="11" t="inlineStr">
        <is>
          <t>Total</t>
        </is>
      </c>
      <c r="B131" s="12">
        <f>SUM(B95:B130)</f>
        <v/>
      </c>
      <c r="C131" s="12">
        <f>SUM(C95:C130)</f>
        <v/>
      </c>
      <c r="D131" s="12">
        <f>SUM(D95:D130)</f>
        <v/>
      </c>
      <c r="E131" s="12">
        <f>SUM(E95:E130)</f>
        <v/>
      </c>
      <c r="F131" s="12">
        <f>SUM(F95:F130)</f>
        <v/>
      </c>
      <c r="G131" s="12">
        <f>SUM(G95:G130)</f>
        <v/>
      </c>
      <c r="H131" s="12">
        <f>SUM(H95:H130)</f>
        <v/>
      </c>
      <c r="I131" s="12">
        <f>SUM(I95:I130)</f>
        <v/>
      </c>
      <c r="J131" s="11" t="inlineStr"/>
      <c r="K131" s="11" t="inlineStr"/>
    </row>
    <row r="134">
      <c r="A134" s="26" t="inlineStr">
        <is>
          <t>Monthly invoicing by station (MS2 to MS7 per station, MS1 shown as project level)</t>
        </is>
      </c>
    </row>
    <row r="135" ht="32" customHeight="1">
      <c r="A135" s="7" t="inlineStr">
        <is>
          <t>Month</t>
        </is>
      </c>
      <c r="B135" s="7" t="inlineStr">
        <is>
          <t>All stations</t>
        </is>
      </c>
      <c r="C135" s="7" t="inlineStr">
        <is>
          <t>Riyadh (Thumamah) (NRY)</t>
        </is>
      </c>
      <c r="D135" s="7" t="inlineStr">
        <is>
          <t>Makkah (HMK)</t>
        </is>
      </c>
      <c r="E135" s="7" t="inlineStr">
        <is>
          <t>Riyadh (Malaz) (ERY)</t>
        </is>
      </c>
      <c r="F135" s="7" t="inlineStr">
        <is>
          <t>Jeddah (HJD)</t>
        </is>
      </c>
      <c r="G135" s="7" t="inlineStr">
        <is>
          <t>Dammam (EDM)</t>
        </is>
      </c>
      <c r="H135" s="7" t="inlineStr">
        <is>
          <t>Al Qassim (NQS)</t>
        </is>
      </c>
      <c r="I135" s="7" t="inlineStr">
        <is>
          <t>Hufuf (EHF)</t>
        </is>
      </c>
      <c r="J135" s="7" t="inlineStr">
        <is>
          <t>Al Majma'ah (NMJ)</t>
        </is>
      </c>
      <c r="K135" s="7" t="inlineStr">
        <is>
          <t>KAEC (HKA)</t>
        </is>
      </c>
      <c r="L135" s="7" t="inlineStr">
        <is>
          <t>Madinah (HMD)</t>
        </is>
      </c>
      <c r="M135" s="7" t="inlineStr">
        <is>
          <t>Abqaiq (EAB)</t>
        </is>
      </c>
      <c r="N135" s="7" t="inlineStr">
        <is>
          <t>Hail (NHL)</t>
        </is>
      </c>
      <c r="O135" s="7" t="inlineStr">
        <is>
          <t>Al Jouf (NJF)</t>
        </is>
      </c>
      <c r="P135" s="7" t="inlineStr">
        <is>
          <t>Al Qurayyat (NQR)</t>
        </is>
      </c>
      <c r="Q135" s="7" t="inlineStr">
        <is>
          <t>Total</t>
        </is>
      </c>
    </row>
    <row r="136">
      <c r="A136" s="24" t="n">
        <v>46327</v>
      </c>
      <c r="B136" s="9">
        <f>SUMIFS($I$5:$I$89,$A$5:$A$89,$A136,$E$5:$E$89,B$135)</f>
        <v/>
      </c>
      <c r="C136" s="9">
        <f>SUMIFS($I$5:$I$89,$A$5:$A$89,$A136,$E$5:$E$89,C$135)</f>
        <v/>
      </c>
      <c r="D136" s="9">
        <f>SUMIFS($I$5:$I$89,$A$5:$A$89,$A136,$E$5:$E$89,D$135)</f>
        <v/>
      </c>
      <c r="E136" s="9">
        <f>SUMIFS($I$5:$I$89,$A$5:$A$89,$A136,$E$5:$E$89,E$135)</f>
        <v/>
      </c>
      <c r="F136" s="9">
        <f>SUMIFS($I$5:$I$89,$A$5:$A$89,$A136,$E$5:$E$89,F$135)</f>
        <v/>
      </c>
      <c r="G136" s="9">
        <f>SUMIFS($I$5:$I$89,$A$5:$A$89,$A136,$E$5:$E$89,G$135)</f>
        <v/>
      </c>
      <c r="H136" s="9">
        <f>SUMIFS($I$5:$I$89,$A$5:$A$89,$A136,$E$5:$E$89,H$135)</f>
        <v/>
      </c>
      <c r="I136" s="9">
        <f>SUMIFS($I$5:$I$89,$A$5:$A$89,$A136,$E$5:$E$89,I$135)</f>
        <v/>
      </c>
      <c r="J136" s="9">
        <f>SUMIFS($I$5:$I$89,$A$5:$A$89,$A136,$E$5:$E$89,J$135)</f>
        <v/>
      </c>
      <c r="K136" s="9">
        <f>SUMIFS($I$5:$I$89,$A$5:$A$89,$A136,$E$5:$E$89,K$135)</f>
        <v/>
      </c>
      <c r="L136" s="9">
        <f>SUMIFS($I$5:$I$89,$A$5:$A$89,$A136,$E$5:$E$89,L$135)</f>
        <v/>
      </c>
      <c r="M136" s="9">
        <f>SUMIFS($I$5:$I$89,$A$5:$A$89,$A136,$E$5:$E$89,M$135)</f>
        <v/>
      </c>
      <c r="N136" s="9">
        <f>SUMIFS($I$5:$I$89,$A$5:$A$89,$A136,$E$5:$E$89,N$135)</f>
        <v/>
      </c>
      <c r="O136" s="9">
        <f>SUMIFS($I$5:$I$89,$A$5:$A$89,$A136,$E$5:$E$89,O$135)</f>
        <v/>
      </c>
      <c r="P136" s="9">
        <f>SUMIFS($I$5:$I$89,$A$5:$A$89,$A136,$E$5:$E$89,P$135)</f>
        <v/>
      </c>
      <c r="Q136" s="9">
        <f>SUM(B136:P136)</f>
        <v/>
      </c>
    </row>
    <row r="137">
      <c r="A137" s="24" t="n">
        <v>46357</v>
      </c>
      <c r="B137" s="9">
        <f>SUMIFS($I$5:$I$89,$A$5:$A$89,$A137,$E$5:$E$89,B$135)</f>
        <v/>
      </c>
      <c r="C137" s="9">
        <f>SUMIFS($I$5:$I$89,$A$5:$A$89,$A137,$E$5:$E$89,C$135)</f>
        <v/>
      </c>
      <c r="D137" s="9">
        <f>SUMIFS($I$5:$I$89,$A$5:$A$89,$A137,$E$5:$E$89,D$135)</f>
        <v/>
      </c>
      <c r="E137" s="9">
        <f>SUMIFS($I$5:$I$89,$A$5:$A$89,$A137,$E$5:$E$89,E$135)</f>
        <v/>
      </c>
      <c r="F137" s="9">
        <f>SUMIFS($I$5:$I$89,$A$5:$A$89,$A137,$E$5:$E$89,F$135)</f>
        <v/>
      </c>
      <c r="G137" s="9">
        <f>SUMIFS($I$5:$I$89,$A$5:$A$89,$A137,$E$5:$E$89,G$135)</f>
        <v/>
      </c>
      <c r="H137" s="9">
        <f>SUMIFS($I$5:$I$89,$A$5:$A$89,$A137,$E$5:$E$89,H$135)</f>
        <v/>
      </c>
      <c r="I137" s="9">
        <f>SUMIFS($I$5:$I$89,$A$5:$A$89,$A137,$E$5:$E$89,I$135)</f>
        <v/>
      </c>
      <c r="J137" s="9">
        <f>SUMIFS($I$5:$I$89,$A$5:$A$89,$A137,$E$5:$E$89,J$135)</f>
        <v/>
      </c>
      <c r="K137" s="9">
        <f>SUMIFS($I$5:$I$89,$A$5:$A$89,$A137,$E$5:$E$89,K$135)</f>
        <v/>
      </c>
      <c r="L137" s="9">
        <f>SUMIFS($I$5:$I$89,$A$5:$A$89,$A137,$E$5:$E$89,L$135)</f>
        <v/>
      </c>
      <c r="M137" s="9">
        <f>SUMIFS($I$5:$I$89,$A$5:$A$89,$A137,$E$5:$E$89,M$135)</f>
        <v/>
      </c>
      <c r="N137" s="9">
        <f>SUMIFS($I$5:$I$89,$A$5:$A$89,$A137,$E$5:$E$89,N$135)</f>
        <v/>
      </c>
      <c r="O137" s="9">
        <f>SUMIFS($I$5:$I$89,$A$5:$A$89,$A137,$E$5:$E$89,O$135)</f>
        <v/>
      </c>
      <c r="P137" s="9">
        <f>SUMIFS($I$5:$I$89,$A$5:$A$89,$A137,$E$5:$E$89,P$135)</f>
        <v/>
      </c>
      <c r="Q137" s="9">
        <f>SUM(B137:P137)</f>
        <v/>
      </c>
    </row>
    <row r="138">
      <c r="A138" s="24" t="n">
        <v>46388</v>
      </c>
      <c r="B138" s="9">
        <f>SUMIFS($I$5:$I$89,$A$5:$A$89,$A138,$E$5:$E$89,B$135)</f>
        <v/>
      </c>
      <c r="C138" s="9">
        <f>SUMIFS($I$5:$I$89,$A$5:$A$89,$A138,$E$5:$E$89,C$135)</f>
        <v/>
      </c>
      <c r="D138" s="9">
        <f>SUMIFS($I$5:$I$89,$A$5:$A$89,$A138,$E$5:$E$89,D$135)</f>
        <v/>
      </c>
      <c r="E138" s="9">
        <f>SUMIFS($I$5:$I$89,$A$5:$A$89,$A138,$E$5:$E$89,E$135)</f>
        <v/>
      </c>
      <c r="F138" s="9">
        <f>SUMIFS($I$5:$I$89,$A$5:$A$89,$A138,$E$5:$E$89,F$135)</f>
        <v/>
      </c>
      <c r="G138" s="9">
        <f>SUMIFS($I$5:$I$89,$A$5:$A$89,$A138,$E$5:$E$89,G$135)</f>
        <v/>
      </c>
      <c r="H138" s="9">
        <f>SUMIFS($I$5:$I$89,$A$5:$A$89,$A138,$E$5:$E$89,H$135)</f>
        <v/>
      </c>
      <c r="I138" s="9">
        <f>SUMIFS($I$5:$I$89,$A$5:$A$89,$A138,$E$5:$E$89,I$135)</f>
        <v/>
      </c>
      <c r="J138" s="9">
        <f>SUMIFS($I$5:$I$89,$A$5:$A$89,$A138,$E$5:$E$89,J$135)</f>
        <v/>
      </c>
      <c r="K138" s="9">
        <f>SUMIFS($I$5:$I$89,$A$5:$A$89,$A138,$E$5:$E$89,K$135)</f>
        <v/>
      </c>
      <c r="L138" s="9">
        <f>SUMIFS($I$5:$I$89,$A$5:$A$89,$A138,$E$5:$E$89,L$135)</f>
        <v/>
      </c>
      <c r="M138" s="9">
        <f>SUMIFS($I$5:$I$89,$A$5:$A$89,$A138,$E$5:$E$89,M$135)</f>
        <v/>
      </c>
      <c r="N138" s="9">
        <f>SUMIFS($I$5:$I$89,$A$5:$A$89,$A138,$E$5:$E$89,N$135)</f>
        <v/>
      </c>
      <c r="O138" s="9">
        <f>SUMIFS($I$5:$I$89,$A$5:$A$89,$A138,$E$5:$E$89,O$135)</f>
        <v/>
      </c>
      <c r="P138" s="9">
        <f>SUMIFS($I$5:$I$89,$A$5:$A$89,$A138,$E$5:$E$89,P$135)</f>
        <v/>
      </c>
      <c r="Q138" s="9">
        <f>SUM(B138:P138)</f>
        <v/>
      </c>
    </row>
    <row r="139">
      <c r="A139" s="24" t="n">
        <v>46419</v>
      </c>
      <c r="B139" s="9">
        <f>SUMIFS($I$5:$I$89,$A$5:$A$89,$A139,$E$5:$E$89,B$135)</f>
        <v/>
      </c>
      <c r="C139" s="9">
        <f>SUMIFS($I$5:$I$89,$A$5:$A$89,$A139,$E$5:$E$89,C$135)</f>
        <v/>
      </c>
      <c r="D139" s="9">
        <f>SUMIFS($I$5:$I$89,$A$5:$A$89,$A139,$E$5:$E$89,D$135)</f>
        <v/>
      </c>
      <c r="E139" s="9">
        <f>SUMIFS($I$5:$I$89,$A$5:$A$89,$A139,$E$5:$E$89,E$135)</f>
        <v/>
      </c>
      <c r="F139" s="9">
        <f>SUMIFS($I$5:$I$89,$A$5:$A$89,$A139,$E$5:$E$89,F$135)</f>
        <v/>
      </c>
      <c r="G139" s="9">
        <f>SUMIFS($I$5:$I$89,$A$5:$A$89,$A139,$E$5:$E$89,G$135)</f>
        <v/>
      </c>
      <c r="H139" s="9">
        <f>SUMIFS($I$5:$I$89,$A$5:$A$89,$A139,$E$5:$E$89,H$135)</f>
        <v/>
      </c>
      <c r="I139" s="9">
        <f>SUMIFS($I$5:$I$89,$A$5:$A$89,$A139,$E$5:$E$89,I$135)</f>
        <v/>
      </c>
      <c r="J139" s="9">
        <f>SUMIFS($I$5:$I$89,$A$5:$A$89,$A139,$E$5:$E$89,J$135)</f>
        <v/>
      </c>
      <c r="K139" s="9">
        <f>SUMIFS($I$5:$I$89,$A$5:$A$89,$A139,$E$5:$E$89,K$135)</f>
        <v/>
      </c>
      <c r="L139" s="9">
        <f>SUMIFS($I$5:$I$89,$A$5:$A$89,$A139,$E$5:$E$89,L$135)</f>
        <v/>
      </c>
      <c r="M139" s="9">
        <f>SUMIFS($I$5:$I$89,$A$5:$A$89,$A139,$E$5:$E$89,M$135)</f>
        <v/>
      </c>
      <c r="N139" s="9">
        <f>SUMIFS($I$5:$I$89,$A$5:$A$89,$A139,$E$5:$E$89,N$135)</f>
        <v/>
      </c>
      <c r="O139" s="9">
        <f>SUMIFS($I$5:$I$89,$A$5:$A$89,$A139,$E$5:$E$89,O$135)</f>
        <v/>
      </c>
      <c r="P139" s="9">
        <f>SUMIFS($I$5:$I$89,$A$5:$A$89,$A139,$E$5:$E$89,P$135)</f>
        <v/>
      </c>
      <c r="Q139" s="9">
        <f>SUM(B139:P139)</f>
        <v/>
      </c>
    </row>
    <row r="140">
      <c r="A140" s="24" t="n">
        <v>46447</v>
      </c>
      <c r="B140" s="9">
        <f>SUMIFS($I$5:$I$89,$A$5:$A$89,$A140,$E$5:$E$89,B$135)</f>
        <v/>
      </c>
      <c r="C140" s="9">
        <f>SUMIFS($I$5:$I$89,$A$5:$A$89,$A140,$E$5:$E$89,C$135)</f>
        <v/>
      </c>
      <c r="D140" s="9">
        <f>SUMIFS($I$5:$I$89,$A$5:$A$89,$A140,$E$5:$E$89,D$135)</f>
        <v/>
      </c>
      <c r="E140" s="9">
        <f>SUMIFS($I$5:$I$89,$A$5:$A$89,$A140,$E$5:$E$89,E$135)</f>
        <v/>
      </c>
      <c r="F140" s="9">
        <f>SUMIFS($I$5:$I$89,$A$5:$A$89,$A140,$E$5:$E$89,F$135)</f>
        <v/>
      </c>
      <c r="G140" s="9">
        <f>SUMIFS($I$5:$I$89,$A$5:$A$89,$A140,$E$5:$E$89,G$135)</f>
        <v/>
      </c>
      <c r="H140" s="9">
        <f>SUMIFS($I$5:$I$89,$A$5:$A$89,$A140,$E$5:$E$89,H$135)</f>
        <v/>
      </c>
      <c r="I140" s="9">
        <f>SUMIFS($I$5:$I$89,$A$5:$A$89,$A140,$E$5:$E$89,I$135)</f>
        <v/>
      </c>
      <c r="J140" s="9">
        <f>SUMIFS($I$5:$I$89,$A$5:$A$89,$A140,$E$5:$E$89,J$135)</f>
        <v/>
      </c>
      <c r="K140" s="9">
        <f>SUMIFS($I$5:$I$89,$A$5:$A$89,$A140,$E$5:$E$89,K$135)</f>
        <v/>
      </c>
      <c r="L140" s="9">
        <f>SUMIFS($I$5:$I$89,$A$5:$A$89,$A140,$E$5:$E$89,L$135)</f>
        <v/>
      </c>
      <c r="M140" s="9">
        <f>SUMIFS($I$5:$I$89,$A$5:$A$89,$A140,$E$5:$E$89,M$135)</f>
        <v/>
      </c>
      <c r="N140" s="9">
        <f>SUMIFS($I$5:$I$89,$A$5:$A$89,$A140,$E$5:$E$89,N$135)</f>
        <v/>
      </c>
      <c r="O140" s="9">
        <f>SUMIFS($I$5:$I$89,$A$5:$A$89,$A140,$E$5:$E$89,O$135)</f>
        <v/>
      </c>
      <c r="P140" s="9">
        <f>SUMIFS($I$5:$I$89,$A$5:$A$89,$A140,$E$5:$E$89,P$135)</f>
        <v/>
      </c>
      <c r="Q140" s="9">
        <f>SUM(B140:P140)</f>
        <v/>
      </c>
    </row>
    <row r="141">
      <c r="A141" s="24" t="n">
        <v>46478</v>
      </c>
      <c r="B141" s="9">
        <f>SUMIFS($I$5:$I$89,$A$5:$A$89,$A141,$E$5:$E$89,B$135)</f>
        <v/>
      </c>
      <c r="C141" s="9">
        <f>SUMIFS($I$5:$I$89,$A$5:$A$89,$A141,$E$5:$E$89,C$135)</f>
        <v/>
      </c>
      <c r="D141" s="9">
        <f>SUMIFS($I$5:$I$89,$A$5:$A$89,$A141,$E$5:$E$89,D$135)</f>
        <v/>
      </c>
      <c r="E141" s="9">
        <f>SUMIFS($I$5:$I$89,$A$5:$A$89,$A141,$E$5:$E$89,E$135)</f>
        <v/>
      </c>
      <c r="F141" s="9">
        <f>SUMIFS($I$5:$I$89,$A$5:$A$89,$A141,$E$5:$E$89,F$135)</f>
        <v/>
      </c>
      <c r="G141" s="9">
        <f>SUMIFS($I$5:$I$89,$A$5:$A$89,$A141,$E$5:$E$89,G$135)</f>
        <v/>
      </c>
      <c r="H141" s="9">
        <f>SUMIFS($I$5:$I$89,$A$5:$A$89,$A141,$E$5:$E$89,H$135)</f>
        <v/>
      </c>
      <c r="I141" s="9">
        <f>SUMIFS($I$5:$I$89,$A$5:$A$89,$A141,$E$5:$E$89,I$135)</f>
        <v/>
      </c>
      <c r="J141" s="9">
        <f>SUMIFS($I$5:$I$89,$A$5:$A$89,$A141,$E$5:$E$89,J$135)</f>
        <v/>
      </c>
      <c r="K141" s="9">
        <f>SUMIFS($I$5:$I$89,$A$5:$A$89,$A141,$E$5:$E$89,K$135)</f>
        <v/>
      </c>
      <c r="L141" s="9">
        <f>SUMIFS($I$5:$I$89,$A$5:$A$89,$A141,$E$5:$E$89,L$135)</f>
        <v/>
      </c>
      <c r="M141" s="9">
        <f>SUMIFS($I$5:$I$89,$A$5:$A$89,$A141,$E$5:$E$89,M$135)</f>
        <v/>
      </c>
      <c r="N141" s="9">
        <f>SUMIFS($I$5:$I$89,$A$5:$A$89,$A141,$E$5:$E$89,N$135)</f>
        <v/>
      </c>
      <c r="O141" s="9">
        <f>SUMIFS($I$5:$I$89,$A$5:$A$89,$A141,$E$5:$E$89,O$135)</f>
        <v/>
      </c>
      <c r="P141" s="9">
        <f>SUMIFS($I$5:$I$89,$A$5:$A$89,$A141,$E$5:$E$89,P$135)</f>
        <v/>
      </c>
      <c r="Q141" s="9">
        <f>SUM(B141:P141)</f>
        <v/>
      </c>
    </row>
    <row r="142">
      <c r="A142" s="24" t="n">
        <v>46508</v>
      </c>
      <c r="B142" s="9">
        <f>SUMIFS($I$5:$I$89,$A$5:$A$89,$A142,$E$5:$E$89,B$135)</f>
        <v/>
      </c>
      <c r="C142" s="9">
        <f>SUMIFS($I$5:$I$89,$A$5:$A$89,$A142,$E$5:$E$89,C$135)</f>
        <v/>
      </c>
      <c r="D142" s="9">
        <f>SUMIFS($I$5:$I$89,$A$5:$A$89,$A142,$E$5:$E$89,D$135)</f>
        <v/>
      </c>
      <c r="E142" s="9">
        <f>SUMIFS($I$5:$I$89,$A$5:$A$89,$A142,$E$5:$E$89,E$135)</f>
        <v/>
      </c>
      <c r="F142" s="9">
        <f>SUMIFS($I$5:$I$89,$A$5:$A$89,$A142,$E$5:$E$89,F$135)</f>
        <v/>
      </c>
      <c r="G142" s="9">
        <f>SUMIFS($I$5:$I$89,$A$5:$A$89,$A142,$E$5:$E$89,G$135)</f>
        <v/>
      </c>
      <c r="H142" s="9">
        <f>SUMIFS($I$5:$I$89,$A$5:$A$89,$A142,$E$5:$E$89,H$135)</f>
        <v/>
      </c>
      <c r="I142" s="9">
        <f>SUMIFS($I$5:$I$89,$A$5:$A$89,$A142,$E$5:$E$89,I$135)</f>
        <v/>
      </c>
      <c r="J142" s="9">
        <f>SUMIFS($I$5:$I$89,$A$5:$A$89,$A142,$E$5:$E$89,J$135)</f>
        <v/>
      </c>
      <c r="K142" s="9">
        <f>SUMIFS($I$5:$I$89,$A$5:$A$89,$A142,$E$5:$E$89,K$135)</f>
        <v/>
      </c>
      <c r="L142" s="9">
        <f>SUMIFS($I$5:$I$89,$A$5:$A$89,$A142,$E$5:$E$89,L$135)</f>
        <v/>
      </c>
      <c r="M142" s="9">
        <f>SUMIFS($I$5:$I$89,$A$5:$A$89,$A142,$E$5:$E$89,M$135)</f>
        <v/>
      </c>
      <c r="N142" s="9">
        <f>SUMIFS($I$5:$I$89,$A$5:$A$89,$A142,$E$5:$E$89,N$135)</f>
        <v/>
      </c>
      <c r="O142" s="9">
        <f>SUMIFS($I$5:$I$89,$A$5:$A$89,$A142,$E$5:$E$89,O$135)</f>
        <v/>
      </c>
      <c r="P142" s="9">
        <f>SUMIFS($I$5:$I$89,$A$5:$A$89,$A142,$E$5:$E$89,P$135)</f>
        <v/>
      </c>
      <c r="Q142" s="9">
        <f>SUM(B142:P142)</f>
        <v/>
      </c>
    </row>
    <row r="143">
      <c r="A143" s="24" t="n">
        <v>46539</v>
      </c>
      <c r="B143" s="9">
        <f>SUMIFS($I$5:$I$89,$A$5:$A$89,$A143,$E$5:$E$89,B$135)</f>
        <v/>
      </c>
      <c r="C143" s="9">
        <f>SUMIFS($I$5:$I$89,$A$5:$A$89,$A143,$E$5:$E$89,C$135)</f>
        <v/>
      </c>
      <c r="D143" s="9">
        <f>SUMIFS($I$5:$I$89,$A$5:$A$89,$A143,$E$5:$E$89,D$135)</f>
        <v/>
      </c>
      <c r="E143" s="9">
        <f>SUMIFS($I$5:$I$89,$A$5:$A$89,$A143,$E$5:$E$89,E$135)</f>
        <v/>
      </c>
      <c r="F143" s="9">
        <f>SUMIFS($I$5:$I$89,$A$5:$A$89,$A143,$E$5:$E$89,F$135)</f>
        <v/>
      </c>
      <c r="G143" s="9">
        <f>SUMIFS($I$5:$I$89,$A$5:$A$89,$A143,$E$5:$E$89,G$135)</f>
        <v/>
      </c>
      <c r="H143" s="9">
        <f>SUMIFS($I$5:$I$89,$A$5:$A$89,$A143,$E$5:$E$89,H$135)</f>
        <v/>
      </c>
      <c r="I143" s="9">
        <f>SUMIFS($I$5:$I$89,$A$5:$A$89,$A143,$E$5:$E$89,I$135)</f>
        <v/>
      </c>
      <c r="J143" s="9">
        <f>SUMIFS($I$5:$I$89,$A$5:$A$89,$A143,$E$5:$E$89,J$135)</f>
        <v/>
      </c>
      <c r="K143" s="9">
        <f>SUMIFS($I$5:$I$89,$A$5:$A$89,$A143,$E$5:$E$89,K$135)</f>
        <v/>
      </c>
      <c r="L143" s="9">
        <f>SUMIFS($I$5:$I$89,$A$5:$A$89,$A143,$E$5:$E$89,L$135)</f>
        <v/>
      </c>
      <c r="M143" s="9">
        <f>SUMIFS($I$5:$I$89,$A$5:$A$89,$A143,$E$5:$E$89,M$135)</f>
        <v/>
      </c>
      <c r="N143" s="9">
        <f>SUMIFS($I$5:$I$89,$A$5:$A$89,$A143,$E$5:$E$89,N$135)</f>
        <v/>
      </c>
      <c r="O143" s="9">
        <f>SUMIFS($I$5:$I$89,$A$5:$A$89,$A143,$E$5:$E$89,O$135)</f>
        <v/>
      </c>
      <c r="P143" s="9">
        <f>SUMIFS($I$5:$I$89,$A$5:$A$89,$A143,$E$5:$E$89,P$135)</f>
        <v/>
      </c>
      <c r="Q143" s="9">
        <f>SUM(B143:P143)</f>
        <v/>
      </c>
    </row>
    <row r="144">
      <c r="A144" s="24" t="n">
        <v>46569</v>
      </c>
      <c r="B144" s="9">
        <f>SUMIFS($I$5:$I$89,$A$5:$A$89,$A144,$E$5:$E$89,B$135)</f>
        <v/>
      </c>
      <c r="C144" s="9">
        <f>SUMIFS($I$5:$I$89,$A$5:$A$89,$A144,$E$5:$E$89,C$135)</f>
        <v/>
      </c>
      <c r="D144" s="9">
        <f>SUMIFS($I$5:$I$89,$A$5:$A$89,$A144,$E$5:$E$89,D$135)</f>
        <v/>
      </c>
      <c r="E144" s="9">
        <f>SUMIFS($I$5:$I$89,$A$5:$A$89,$A144,$E$5:$E$89,E$135)</f>
        <v/>
      </c>
      <c r="F144" s="9">
        <f>SUMIFS($I$5:$I$89,$A$5:$A$89,$A144,$E$5:$E$89,F$135)</f>
        <v/>
      </c>
      <c r="G144" s="9">
        <f>SUMIFS($I$5:$I$89,$A$5:$A$89,$A144,$E$5:$E$89,G$135)</f>
        <v/>
      </c>
      <c r="H144" s="9">
        <f>SUMIFS($I$5:$I$89,$A$5:$A$89,$A144,$E$5:$E$89,H$135)</f>
        <v/>
      </c>
      <c r="I144" s="9">
        <f>SUMIFS($I$5:$I$89,$A$5:$A$89,$A144,$E$5:$E$89,I$135)</f>
        <v/>
      </c>
      <c r="J144" s="9">
        <f>SUMIFS($I$5:$I$89,$A$5:$A$89,$A144,$E$5:$E$89,J$135)</f>
        <v/>
      </c>
      <c r="K144" s="9">
        <f>SUMIFS($I$5:$I$89,$A$5:$A$89,$A144,$E$5:$E$89,K$135)</f>
        <v/>
      </c>
      <c r="L144" s="9">
        <f>SUMIFS($I$5:$I$89,$A$5:$A$89,$A144,$E$5:$E$89,L$135)</f>
        <v/>
      </c>
      <c r="M144" s="9">
        <f>SUMIFS($I$5:$I$89,$A$5:$A$89,$A144,$E$5:$E$89,M$135)</f>
        <v/>
      </c>
      <c r="N144" s="9">
        <f>SUMIFS($I$5:$I$89,$A$5:$A$89,$A144,$E$5:$E$89,N$135)</f>
        <v/>
      </c>
      <c r="O144" s="9">
        <f>SUMIFS($I$5:$I$89,$A$5:$A$89,$A144,$E$5:$E$89,O$135)</f>
        <v/>
      </c>
      <c r="P144" s="9">
        <f>SUMIFS($I$5:$I$89,$A$5:$A$89,$A144,$E$5:$E$89,P$135)</f>
        <v/>
      </c>
      <c r="Q144" s="9">
        <f>SUM(B144:P144)</f>
        <v/>
      </c>
    </row>
    <row r="145">
      <c r="A145" s="24" t="n">
        <v>46600</v>
      </c>
      <c r="B145" s="9">
        <f>SUMIFS($I$5:$I$89,$A$5:$A$89,$A145,$E$5:$E$89,B$135)</f>
        <v/>
      </c>
      <c r="C145" s="9">
        <f>SUMIFS($I$5:$I$89,$A$5:$A$89,$A145,$E$5:$E$89,C$135)</f>
        <v/>
      </c>
      <c r="D145" s="9">
        <f>SUMIFS($I$5:$I$89,$A$5:$A$89,$A145,$E$5:$E$89,D$135)</f>
        <v/>
      </c>
      <c r="E145" s="9">
        <f>SUMIFS($I$5:$I$89,$A$5:$A$89,$A145,$E$5:$E$89,E$135)</f>
        <v/>
      </c>
      <c r="F145" s="9">
        <f>SUMIFS($I$5:$I$89,$A$5:$A$89,$A145,$E$5:$E$89,F$135)</f>
        <v/>
      </c>
      <c r="G145" s="9">
        <f>SUMIFS($I$5:$I$89,$A$5:$A$89,$A145,$E$5:$E$89,G$135)</f>
        <v/>
      </c>
      <c r="H145" s="9">
        <f>SUMIFS($I$5:$I$89,$A$5:$A$89,$A145,$E$5:$E$89,H$135)</f>
        <v/>
      </c>
      <c r="I145" s="9">
        <f>SUMIFS($I$5:$I$89,$A$5:$A$89,$A145,$E$5:$E$89,I$135)</f>
        <v/>
      </c>
      <c r="J145" s="9">
        <f>SUMIFS($I$5:$I$89,$A$5:$A$89,$A145,$E$5:$E$89,J$135)</f>
        <v/>
      </c>
      <c r="K145" s="9">
        <f>SUMIFS($I$5:$I$89,$A$5:$A$89,$A145,$E$5:$E$89,K$135)</f>
        <v/>
      </c>
      <c r="L145" s="9">
        <f>SUMIFS($I$5:$I$89,$A$5:$A$89,$A145,$E$5:$E$89,L$135)</f>
        <v/>
      </c>
      <c r="M145" s="9">
        <f>SUMIFS($I$5:$I$89,$A$5:$A$89,$A145,$E$5:$E$89,M$135)</f>
        <v/>
      </c>
      <c r="N145" s="9">
        <f>SUMIFS($I$5:$I$89,$A$5:$A$89,$A145,$E$5:$E$89,N$135)</f>
        <v/>
      </c>
      <c r="O145" s="9">
        <f>SUMIFS($I$5:$I$89,$A$5:$A$89,$A145,$E$5:$E$89,O$135)</f>
        <v/>
      </c>
      <c r="P145" s="9">
        <f>SUMIFS($I$5:$I$89,$A$5:$A$89,$A145,$E$5:$E$89,P$135)</f>
        <v/>
      </c>
      <c r="Q145" s="9">
        <f>SUM(B145:P145)</f>
        <v/>
      </c>
    </row>
    <row r="146">
      <c r="A146" s="24" t="n">
        <v>46631</v>
      </c>
      <c r="B146" s="9">
        <f>SUMIFS($I$5:$I$89,$A$5:$A$89,$A146,$E$5:$E$89,B$135)</f>
        <v/>
      </c>
      <c r="C146" s="9">
        <f>SUMIFS($I$5:$I$89,$A$5:$A$89,$A146,$E$5:$E$89,C$135)</f>
        <v/>
      </c>
      <c r="D146" s="9">
        <f>SUMIFS($I$5:$I$89,$A$5:$A$89,$A146,$E$5:$E$89,D$135)</f>
        <v/>
      </c>
      <c r="E146" s="9">
        <f>SUMIFS($I$5:$I$89,$A$5:$A$89,$A146,$E$5:$E$89,E$135)</f>
        <v/>
      </c>
      <c r="F146" s="9">
        <f>SUMIFS($I$5:$I$89,$A$5:$A$89,$A146,$E$5:$E$89,F$135)</f>
        <v/>
      </c>
      <c r="G146" s="9">
        <f>SUMIFS($I$5:$I$89,$A$5:$A$89,$A146,$E$5:$E$89,G$135)</f>
        <v/>
      </c>
      <c r="H146" s="9">
        <f>SUMIFS($I$5:$I$89,$A$5:$A$89,$A146,$E$5:$E$89,H$135)</f>
        <v/>
      </c>
      <c r="I146" s="9">
        <f>SUMIFS($I$5:$I$89,$A$5:$A$89,$A146,$E$5:$E$89,I$135)</f>
        <v/>
      </c>
      <c r="J146" s="9">
        <f>SUMIFS($I$5:$I$89,$A$5:$A$89,$A146,$E$5:$E$89,J$135)</f>
        <v/>
      </c>
      <c r="K146" s="9">
        <f>SUMIFS($I$5:$I$89,$A$5:$A$89,$A146,$E$5:$E$89,K$135)</f>
        <v/>
      </c>
      <c r="L146" s="9">
        <f>SUMIFS($I$5:$I$89,$A$5:$A$89,$A146,$E$5:$E$89,L$135)</f>
        <v/>
      </c>
      <c r="M146" s="9">
        <f>SUMIFS($I$5:$I$89,$A$5:$A$89,$A146,$E$5:$E$89,M$135)</f>
        <v/>
      </c>
      <c r="N146" s="9">
        <f>SUMIFS($I$5:$I$89,$A$5:$A$89,$A146,$E$5:$E$89,N$135)</f>
        <v/>
      </c>
      <c r="O146" s="9">
        <f>SUMIFS($I$5:$I$89,$A$5:$A$89,$A146,$E$5:$E$89,O$135)</f>
        <v/>
      </c>
      <c r="P146" s="9">
        <f>SUMIFS($I$5:$I$89,$A$5:$A$89,$A146,$E$5:$E$89,P$135)</f>
        <v/>
      </c>
      <c r="Q146" s="9">
        <f>SUM(B146:P146)</f>
        <v/>
      </c>
    </row>
    <row r="147">
      <c r="A147" s="24" t="n">
        <v>46661</v>
      </c>
      <c r="B147" s="9">
        <f>SUMIFS($I$5:$I$89,$A$5:$A$89,$A147,$E$5:$E$89,B$135)</f>
        <v/>
      </c>
      <c r="C147" s="9">
        <f>SUMIFS($I$5:$I$89,$A$5:$A$89,$A147,$E$5:$E$89,C$135)</f>
        <v/>
      </c>
      <c r="D147" s="9">
        <f>SUMIFS($I$5:$I$89,$A$5:$A$89,$A147,$E$5:$E$89,D$135)</f>
        <v/>
      </c>
      <c r="E147" s="9">
        <f>SUMIFS($I$5:$I$89,$A$5:$A$89,$A147,$E$5:$E$89,E$135)</f>
        <v/>
      </c>
      <c r="F147" s="9">
        <f>SUMIFS($I$5:$I$89,$A$5:$A$89,$A147,$E$5:$E$89,F$135)</f>
        <v/>
      </c>
      <c r="G147" s="9">
        <f>SUMIFS($I$5:$I$89,$A$5:$A$89,$A147,$E$5:$E$89,G$135)</f>
        <v/>
      </c>
      <c r="H147" s="9">
        <f>SUMIFS($I$5:$I$89,$A$5:$A$89,$A147,$E$5:$E$89,H$135)</f>
        <v/>
      </c>
      <c r="I147" s="9">
        <f>SUMIFS($I$5:$I$89,$A$5:$A$89,$A147,$E$5:$E$89,I$135)</f>
        <v/>
      </c>
      <c r="J147" s="9">
        <f>SUMIFS($I$5:$I$89,$A$5:$A$89,$A147,$E$5:$E$89,J$135)</f>
        <v/>
      </c>
      <c r="K147" s="9">
        <f>SUMIFS($I$5:$I$89,$A$5:$A$89,$A147,$E$5:$E$89,K$135)</f>
        <v/>
      </c>
      <c r="L147" s="9">
        <f>SUMIFS($I$5:$I$89,$A$5:$A$89,$A147,$E$5:$E$89,L$135)</f>
        <v/>
      </c>
      <c r="M147" s="9">
        <f>SUMIFS($I$5:$I$89,$A$5:$A$89,$A147,$E$5:$E$89,M$135)</f>
        <v/>
      </c>
      <c r="N147" s="9">
        <f>SUMIFS($I$5:$I$89,$A$5:$A$89,$A147,$E$5:$E$89,N$135)</f>
        <v/>
      </c>
      <c r="O147" s="9">
        <f>SUMIFS($I$5:$I$89,$A$5:$A$89,$A147,$E$5:$E$89,O$135)</f>
        <v/>
      </c>
      <c r="P147" s="9">
        <f>SUMIFS($I$5:$I$89,$A$5:$A$89,$A147,$E$5:$E$89,P$135)</f>
        <v/>
      </c>
      <c r="Q147" s="9">
        <f>SUM(B147:P147)</f>
        <v/>
      </c>
    </row>
    <row r="148">
      <c r="A148" s="24" t="n">
        <v>46692</v>
      </c>
      <c r="B148" s="9">
        <f>SUMIFS($I$5:$I$89,$A$5:$A$89,$A148,$E$5:$E$89,B$135)</f>
        <v/>
      </c>
      <c r="C148" s="9">
        <f>SUMIFS($I$5:$I$89,$A$5:$A$89,$A148,$E$5:$E$89,C$135)</f>
        <v/>
      </c>
      <c r="D148" s="9">
        <f>SUMIFS($I$5:$I$89,$A$5:$A$89,$A148,$E$5:$E$89,D$135)</f>
        <v/>
      </c>
      <c r="E148" s="9">
        <f>SUMIFS($I$5:$I$89,$A$5:$A$89,$A148,$E$5:$E$89,E$135)</f>
        <v/>
      </c>
      <c r="F148" s="9">
        <f>SUMIFS($I$5:$I$89,$A$5:$A$89,$A148,$E$5:$E$89,F$135)</f>
        <v/>
      </c>
      <c r="G148" s="9">
        <f>SUMIFS($I$5:$I$89,$A$5:$A$89,$A148,$E$5:$E$89,G$135)</f>
        <v/>
      </c>
      <c r="H148" s="9">
        <f>SUMIFS($I$5:$I$89,$A$5:$A$89,$A148,$E$5:$E$89,H$135)</f>
        <v/>
      </c>
      <c r="I148" s="9">
        <f>SUMIFS($I$5:$I$89,$A$5:$A$89,$A148,$E$5:$E$89,I$135)</f>
        <v/>
      </c>
      <c r="J148" s="9">
        <f>SUMIFS($I$5:$I$89,$A$5:$A$89,$A148,$E$5:$E$89,J$135)</f>
        <v/>
      </c>
      <c r="K148" s="9">
        <f>SUMIFS($I$5:$I$89,$A$5:$A$89,$A148,$E$5:$E$89,K$135)</f>
        <v/>
      </c>
      <c r="L148" s="9">
        <f>SUMIFS($I$5:$I$89,$A$5:$A$89,$A148,$E$5:$E$89,L$135)</f>
        <v/>
      </c>
      <c r="M148" s="9">
        <f>SUMIFS($I$5:$I$89,$A$5:$A$89,$A148,$E$5:$E$89,M$135)</f>
        <v/>
      </c>
      <c r="N148" s="9">
        <f>SUMIFS($I$5:$I$89,$A$5:$A$89,$A148,$E$5:$E$89,N$135)</f>
        <v/>
      </c>
      <c r="O148" s="9">
        <f>SUMIFS($I$5:$I$89,$A$5:$A$89,$A148,$E$5:$E$89,O$135)</f>
        <v/>
      </c>
      <c r="P148" s="9">
        <f>SUMIFS($I$5:$I$89,$A$5:$A$89,$A148,$E$5:$E$89,P$135)</f>
        <v/>
      </c>
      <c r="Q148" s="9">
        <f>SUM(B148:P148)</f>
        <v/>
      </c>
    </row>
    <row r="149">
      <c r="A149" s="24" t="n">
        <v>46722</v>
      </c>
      <c r="B149" s="9">
        <f>SUMIFS($I$5:$I$89,$A$5:$A$89,$A149,$E$5:$E$89,B$135)</f>
        <v/>
      </c>
      <c r="C149" s="9">
        <f>SUMIFS($I$5:$I$89,$A$5:$A$89,$A149,$E$5:$E$89,C$135)</f>
        <v/>
      </c>
      <c r="D149" s="9">
        <f>SUMIFS($I$5:$I$89,$A$5:$A$89,$A149,$E$5:$E$89,D$135)</f>
        <v/>
      </c>
      <c r="E149" s="9">
        <f>SUMIFS($I$5:$I$89,$A$5:$A$89,$A149,$E$5:$E$89,E$135)</f>
        <v/>
      </c>
      <c r="F149" s="9">
        <f>SUMIFS($I$5:$I$89,$A$5:$A$89,$A149,$E$5:$E$89,F$135)</f>
        <v/>
      </c>
      <c r="G149" s="9">
        <f>SUMIFS($I$5:$I$89,$A$5:$A$89,$A149,$E$5:$E$89,G$135)</f>
        <v/>
      </c>
      <c r="H149" s="9">
        <f>SUMIFS($I$5:$I$89,$A$5:$A$89,$A149,$E$5:$E$89,H$135)</f>
        <v/>
      </c>
      <c r="I149" s="9">
        <f>SUMIFS($I$5:$I$89,$A$5:$A$89,$A149,$E$5:$E$89,I$135)</f>
        <v/>
      </c>
      <c r="J149" s="9">
        <f>SUMIFS($I$5:$I$89,$A$5:$A$89,$A149,$E$5:$E$89,J$135)</f>
        <v/>
      </c>
      <c r="K149" s="9">
        <f>SUMIFS($I$5:$I$89,$A$5:$A$89,$A149,$E$5:$E$89,K$135)</f>
        <v/>
      </c>
      <c r="L149" s="9">
        <f>SUMIFS($I$5:$I$89,$A$5:$A$89,$A149,$E$5:$E$89,L$135)</f>
        <v/>
      </c>
      <c r="M149" s="9">
        <f>SUMIFS($I$5:$I$89,$A$5:$A$89,$A149,$E$5:$E$89,M$135)</f>
        <v/>
      </c>
      <c r="N149" s="9">
        <f>SUMIFS($I$5:$I$89,$A$5:$A$89,$A149,$E$5:$E$89,N$135)</f>
        <v/>
      </c>
      <c r="O149" s="9">
        <f>SUMIFS($I$5:$I$89,$A$5:$A$89,$A149,$E$5:$E$89,O$135)</f>
        <v/>
      </c>
      <c r="P149" s="9">
        <f>SUMIFS($I$5:$I$89,$A$5:$A$89,$A149,$E$5:$E$89,P$135)</f>
        <v/>
      </c>
      <c r="Q149" s="9">
        <f>SUM(B149:P149)</f>
        <v/>
      </c>
    </row>
    <row r="150">
      <c r="A150" s="24" t="n">
        <v>46753</v>
      </c>
      <c r="B150" s="9">
        <f>SUMIFS($I$5:$I$89,$A$5:$A$89,$A150,$E$5:$E$89,B$135)</f>
        <v/>
      </c>
      <c r="C150" s="9">
        <f>SUMIFS($I$5:$I$89,$A$5:$A$89,$A150,$E$5:$E$89,C$135)</f>
        <v/>
      </c>
      <c r="D150" s="9">
        <f>SUMIFS($I$5:$I$89,$A$5:$A$89,$A150,$E$5:$E$89,D$135)</f>
        <v/>
      </c>
      <c r="E150" s="9">
        <f>SUMIFS($I$5:$I$89,$A$5:$A$89,$A150,$E$5:$E$89,E$135)</f>
        <v/>
      </c>
      <c r="F150" s="9">
        <f>SUMIFS($I$5:$I$89,$A$5:$A$89,$A150,$E$5:$E$89,F$135)</f>
        <v/>
      </c>
      <c r="G150" s="9">
        <f>SUMIFS($I$5:$I$89,$A$5:$A$89,$A150,$E$5:$E$89,G$135)</f>
        <v/>
      </c>
      <c r="H150" s="9">
        <f>SUMIFS($I$5:$I$89,$A$5:$A$89,$A150,$E$5:$E$89,H$135)</f>
        <v/>
      </c>
      <c r="I150" s="9">
        <f>SUMIFS($I$5:$I$89,$A$5:$A$89,$A150,$E$5:$E$89,I$135)</f>
        <v/>
      </c>
      <c r="J150" s="9">
        <f>SUMIFS($I$5:$I$89,$A$5:$A$89,$A150,$E$5:$E$89,J$135)</f>
        <v/>
      </c>
      <c r="K150" s="9">
        <f>SUMIFS($I$5:$I$89,$A$5:$A$89,$A150,$E$5:$E$89,K$135)</f>
        <v/>
      </c>
      <c r="L150" s="9">
        <f>SUMIFS($I$5:$I$89,$A$5:$A$89,$A150,$E$5:$E$89,L$135)</f>
        <v/>
      </c>
      <c r="M150" s="9">
        <f>SUMIFS($I$5:$I$89,$A$5:$A$89,$A150,$E$5:$E$89,M$135)</f>
        <v/>
      </c>
      <c r="N150" s="9">
        <f>SUMIFS($I$5:$I$89,$A$5:$A$89,$A150,$E$5:$E$89,N$135)</f>
        <v/>
      </c>
      <c r="O150" s="9">
        <f>SUMIFS($I$5:$I$89,$A$5:$A$89,$A150,$E$5:$E$89,O$135)</f>
        <v/>
      </c>
      <c r="P150" s="9">
        <f>SUMIFS($I$5:$I$89,$A$5:$A$89,$A150,$E$5:$E$89,P$135)</f>
        <v/>
      </c>
      <c r="Q150" s="9">
        <f>SUM(B150:P150)</f>
        <v/>
      </c>
    </row>
    <row r="151">
      <c r="A151" s="24" t="n">
        <v>46784</v>
      </c>
      <c r="B151" s="9">
        <f>SUMIFS($I$5:$I$89,$A$5:$A$89,$A151,$E$5:$E$89,B$135)</f>
        <v/>
      </c>
      <c r="C151" s="9">
        <f>SUMIFS($I$5:$I$89,$A$5:$A$89,$A151,$E$5:$E$89,C$135)</f>
        <v/>
      </c>
      <c r="D151" s="9">
        <f>SUMIFS($I$5:$I$89,$A$5:$A$89,$A151,$E$5:$E$89,D$135)</f>
        <v/>
      </c>
      <c r="E151" s="9">
        <f>SUMIFS($I$5:$I$89,$A$5:$A$89,$A151,$E$5:$E$89,E$135)</f>
        <v/>
      </c>
      <c r="F151" s="9">
        <f>SUMIFS($I$5:$I$89,$A$5:$A$89,$A151,$E$5:$E$89,F$135)</f>
        <v/>
      </c>
      <c r="G151" s="9">
        <f>SUMIFS($I$5:$I$89,$A$5:$A$89,$A151,$E$5:$E$89,G$135)</f>
        <v/>
      </c>
      <c r="H151" s="9">
        <f>SUMIFS($I$5:$I$89,$A$5:$A$89,$A151,$E$5:$E$89,H$135)</f>
        <v/>
      </c>
      <c r="I151" s="9">
        <f>SUMIFS($I$5:$I$89,$A$5:$A$89,$A151,$E$5:$E$89,I$135)</f>
        <v/>
      </c>
      <c r="J151" s="9">
        <f>SUMIFS($I$5:$I$89,$A$5:$A$89,$A151,$E$5:$E$89,J$135)</f>
        <v/>
      </c>
      <c r="K151" s="9">
        <f>SUMIFS($I$5:$I$89,$A$5:$A$89,$A151,$E$5:$E$89,K$135)</f>
        <v/>
      </c>
      <c r="L151" s="9">
        <f>SUMIFS($I$5:$I$89,$A$5:$A$89,$A151,$E$5:$E$89,L$135)</f>
        <v/>
      </c>
      <c r="M151" s="9">
        <f>SUMIFS($I$5:$I$89,$A$5:$A$89,$A151,$E$5:$E$89,M$135)</f>
        <v/>
      </c>
      <c r="N151" s="9">
        <f>SUMIFS($I$5:$I$89,$A$5:$A$89,$A151,$E$5:$E$89,N$135)</f>
        <v/>
      </c>
      <c r="O151" s="9">
        <f>SUMIFS($I$5:$I$89,$A$5:$A$89,$A151,$E$5:$E$89,O$135)</f>
        <v/>
      </c>
      <c r="P151" s="9">
        <f>SUMIFS($I$5:$I$89,$A$5:$A$89,$A151,$E$5:$E$89,P$135)</f>
        <v/>
      </c>
      <c r="Q151" s="9">
        <f>SUM(B151:P151)</f>
        <v/>
      </c>
    </row>
    <row r="152">
      <c r="A152" s="24" t="n">
        <v>46813</v>
      </c>
      <c r="B152" s="9">
        <f>SUMIFS($I$5:$I$89,$A$5:$A$89,$A152,$E$5:$E$89,B$135)</f>
        <v/>
      </c>
      <c r="C152" s="9">
        <f>SUMIFS($I$5:$I$89,$A$5:$A$89,$A152,$E$5:$E$89,C$135)</f>
        <v/>
      </c>
      <c r="D152" s="9">
        <f>SUMIFS($I$5:$I$89,$A$5:$A$89,$A152,$E$5:$E$89,D$135)</f>
        <v/>
      </c>
      <c r="E152" s="9">
        <f>SUMIFS($I$5:$I$89,$A$5:$A$89,$A152,$E$5:$E$89,E$135)</f>
        <v/>
      </c>
      <c r="F152" s="9">
        <f>SUMIFS($I$5:$I$89,$A$5:$A$89,$A152,$E$5:$E$89,F$135)</f>
        <v/>
      </c>
      <c r="G152" s="9">
        <f>SUMIFS($I$5:$I$89,$A$5:$A$89,$A152,$E$5:$E$89,G$135)</f>
        <v/>
      </c>
      <c r="H152" s="9">
        <f>SUMIFS($I$5:$I$89,$A$5:$A$89,$A152,$E$5:$E$89,H$135)</f>
        <v/>
      </c>
      <c r="I152" s="9">
        <f>SUMIFS($I$5:$I$89,$A$5:$A$89,$A152,$E$5:$E$89,I$135)</f>
        <v/>
      </c>
      <c r="J152" s="9">
        <f>SUMIFS($I$5:$I$89,$A$5:$A$89,$A152,$E$5:$E$89,J$135)</f>
        <v/>
      </c>
      <c r="K152" s="9">
        <f>SUMIFS($I$5:$I$89,$A$5:$A$89,$A152,$E$5:$E$89,K$135)</f>
        <v/>
      </c>
      <c r="L152" s="9">
        <f>SUMIFS($I$5:$I$89,$A$5:$A$89,$A152,$E$5:$E$89,L$135)</f>
        <v/>
      </c>
      <c r="M152" s="9">
        <f>SUMIFS($I$5:$I$89,$A$5:$A$89,$A152,$E$5:$E$89,M$135)</f>
        <v/>
      </c>
      <c r="N152" s="9">
        <f>SUMIFS($I$5:$I$89,$A$5:$A$89,$A152,$E$5:$E$89,N$135)</f>
        <v/>
      </c>
      <c r="O152" s="9">
        <f>SUMIFS($I$5:$I$89,$A$5:$A$89,$A152,$E$5:$E$89,O$135)</f>
        <v/>
      </c>
      <c r="P152" s="9">
        <f>SUMIFS($I$5:$I$89,$A$5:$A$89,$A152,$E$5:$E$89,P$135)</f>
        <v/>
      </c>
      <c r="Q152" s="9">
        <f>SUM(B152:P152)</f>
        <v/>
      </c>
    </row>
    <row r="153">
      <c r="A153" s="24" t="n">
        <v>46844</v>
      </c>
      <c r="B153" s="9">
        <f>SUMIFS($I$5:$I$89,$A$5:$A$89,$A153,$E$5:$E$89,B$135)</f>
        <v/>
      </c>
      <c r="C153" s="9">
        <f>SUMIFS($I$5:$I$89,$A$5:$A$89,$A153,$E$5:$E$89,C$135)</f>
        <v/>
      </c>
      <c r="D153" s="9">
        <f>SUMIFS($I$5:$I$89,$A$5:$A$89,$A153,$E$5:$E$89,D$135)</f>
        <v/>
      </c>
      <c r="E153" s="9">
        <f>SUMIFS($I$5:$I$89,$A$5:$A$89,$A153,$E$5:$E$89,E$135)</f>
        <v/>
      </c>
      <c r="F153" s="9">
        <f>SUMIFS($I$5:$I$89,$A$5:$A$89,$A153,$E$5:$E$89,F$135)</f>
        <v/>
      </c>
      <c r="G153" s="9">
        <f>SUMIFS($I$5:$I$89,$A$5:$A$89,$A153,$E$5:$E$89,G$135)</f>
        <v/>
      </c>
      <c r="H153" s="9">
        <f>SUMIFS($I$5:$I$89,$A$5:$A$89,$A153,$E$5:$E$89,H$135)</f>
        <v/>
      </c>
      <c r="I153" s="9">
        <f>SUMIFS($I$5:$I$89,$A$5:$A$89,$A153,$E$5:$E$89,I$135)</f>
        <v/>
      </c>
      <c r="J153" s="9">
        <f>SUMIFS($I$5:$I$89,$A$5:$A$89,$A153,$E$5:$E$89,J$135)</f>
        <v/>
      </c>
      <c r="K153" s="9">
        <f>SUMIFS($I$5:$I$89,$A$5:$A$89,$A153,$E$5:$E$89,K$135)</f>
        <v/>
      </c>
      <c r="L153" s="9">
        <f>SUMIFS($I$5:$I$89,$A$5:$A$89,$A153,$E$5:$E$89,L$135)</f>
        <v/>
      </c>
      <c r="M153" s="9">
        <f>SUMIFS($I$5:$I$89,$A$5:$A$89,$A153,$E$5:$E$89,M$135)</f>
        <v/>
      </c>
      <c r="N153" s="9">
        <f>SUMIFS($I$5:$I$89,$A$5:$A$89,$A153,$E$5:$E$89,N$135)</f>
        <v/>
      </c>
      <c r="O153" s="9">
        <f>SUMIFS($I$5:$I$89,$A$5:$A$89,$A153,$E$5:$E$89,O$135)</f>
        <v/>
      </c>
      <c r="P153" s="9">
        <f>SUMIFS($I$5:$I$89,$A$5:$A$89,$A153,$E$5:$E$89,P$135)</f>
        <v/>
      </c>
      <c r="Q153" s="9">
        <f>SUM(B153:P153)</f>
        <v/>
      </c>
    </row>
    <row r="154">
      <c r="A154" s="24" t="n">
        <v>46874</v>
      </c>
      <c r="B154" s="9">
        <f>SUMIFS($I$5:$I$89,$A$5:$A$89,$A154,$E$5:$E$89,B$135)</f>
        <v/>
      </c>
      <c r="C154" s="9">
        <f>SUMIFS($I$5:$I$89,$A$5:$A$89,$A154,$E$5:$E$89,C$135)</f>
        <v/>
      </c>
      <c r="D154" s="9">
        <f>SUMIFS($I$5:$I$89,$A$5:$A$89,$A154,$E$5:$E$89,D$135)</f>
        <v/>
      </c>
      <c r="E154" s="9">
        <f>SUMIFS($I$5:$I$89,$A$5:$A$89,$A154,$E$5:$E$89,E$135)</f>
        <v/>
      </c>
      <c r="F154" s="9">
        <f>SUMIFS($I$5:$I$89,$A$5:$A$89,$A154,$E$5:$E$89,F$135)</f>
        <v/>
      </c>
      <c r="G154" s="9">
        <f>SUMIFS($I$5:$I$89,$A$5:$A$89,$A154,$E$5:$E$89,G$135)</f>
        <v/>
      </c>
      <c r="H154" s="9">
        <f>SUMIFS($I$5:$I$89,$A$5:$A$89,$A154,$E$5:$E$89,H$135)</f>
        <v/>
      </c>
      <c r="I154" s="9">
        <f>SUMIFS($I$5:$I$89,$A$5:$A$89,$A154,$E$5:$E$89,I$135)</f>
        <v/>
      </c>
      <c r="J154" s="9">
        <f>SUMIFS($I$5:$I$89,$A$5:$A$89,$A154,$E$5:$E$89,J$135)</f>
        <v/>
      </c>
      <c r="K154" s="9">
        <f>SUMIFS($I$5:$I$89,$A$5:$A$89,$A154,$E$5:$E$89,K$135)</f>
        <v/>
      </c>
      <c r="L154" s="9">
        <f>SUMIFS($I$5:$I$89,$A$5:$A$89,$A154,$E$5:$E$89,L$135)</f>
        <v/>
      </c>
      <c r="M154" s="9">
        <f>SUMIFS($I$5:$I$89,$A$5:$A$89,$A154,$E$5:$E$89,M$135)</f>
        <v/>
      </c>
      <c r="N154" s="9">
        <f>SUMIFS($I$5:$I$89,$A$5:$A$89,$A154,$E$5:$E$89,N$135)</f>
        <v/>
      </c>
      <c r="O154" s="9">
        <f>SUMIFS($I$5:$I$89,$A$5:$A$89,$A154,$E$5:$E$89,O$135)</f>
        <v/>
      </c>
      <c r="P154" s="9">
        <f>SUMIFS($I$5:$I$89,$A$5:$A$89,$A154,$E$5:$E$89,P$135)</f>
        <v/>
      </c>
      <c r="Q154" s="9">
        <f>SUM(B154:P154)</f>
        <v/>
      </c>
    </row>
    <row r="155">
      <c r="A155" s="24" t="n">
        <v>46905</v>
      </c>
      <c r="B155" s="9">
        <f>SUMIFS($I$5:$I$89,$A$5:$A$89,$A155,$E$5:$E$89,B$135)</f>
        <v/>
      </c>
      <c r="C155" s="9">
        <f>SUMIFS($I$5:$I$89,$A$5:$A$89,$A155,$E$5:$E$89,C$135)</f>
        <v/>
      </c>
      <c r="D155" s="9">
        <f>SUMIFS($I$5:$I$89,$A$5:$A$89,$A155,$E$5:$E$89,D$135)</f>
        <v/>
      </c>
      <c r="E155" s="9">
        <f>SUMIFS($I$5:$I$89,$A$5:$A$89,$A155,$E$5:$E$89,E$135)</f>
        <v/>
      </c>
      <c r="F155" s="9">
        <f>SUMIFS($I$5:$I$89,$A$5:$A$89,$A155,$E$5:$E$89,F$135)</f>
        <v/>
      </c>
      <c r="G155" s="9">
        <f>SUMIFS($I$5:$I$89,$A$5:$A$89,$A155,$E$5:$E$89,G$135)</f>
        <v/>
      </c>
      <c r="H155" s="9">
        <f>SUMIFS($I$5:$I$89,$A$5:$A$89,$A155,$E$5:$E$89,H$135)</f>
        <v/>
      </c>
      <c r="I155" s="9">
        <f>SUMIFS($I$5:$I$89,$A$5:$A$89,$A155,$E$5:$E$89,I$135)</f>
        <v/>
      </c>
      <c r="J155" s="9">
        <f>SUMIFS($I$5:$I$89,$A$5:$A$89,$A155,$E$5:$E$89,J$135)</f>
        <v/>
      </c>
      <c r="K155" s="9">
        <f>SUMIFS($I$5:$I$89,$A$5:$A$89,$A155,$E$5:$E$89,K$135)</f>
        <v/>
      </c>
      <c r="L155" s="9">
        <f>SUMIFS($I$5:$I$89,$A$5:$A$89,$A155,$E$5:$E$89,L$135)</f>
        <v/>
      </c>
      <c r="M155" s="9">
        <f>SUMIFS($I$5:$I$89,$A$5:$A$89,$A155,$E$5:$E$89,M$135)</f>
        <v/>
      </c>
      <c r="N155" s="9">
        <f>SUMIFS($I$5:$I$89,$A$5:$A$89,$A155,$E$5:$E$89,N$135)</f>
        <v/>
      </c>
      <c r="O155" s="9">
        <f>SUMIFS($I$5:$I$89,$A$5:$A$89,$A155,$E$5:$E$89,O$135)</f>
        <v/>
      </c>
      <c r="P155" s="9">
        <f>SUMIFS($I$5:$I$89,$A$5:$A$89,$A155,$E$5:$E$89,P$135)</f>
        <v/>
      </c>
      <c r="Q155" s="9">
        <f>SUM(B155:P155)</f>
        <v/>
      </c>
    </row>
    <row r="156">
      <c r="A156" s="24" t="n">
        <v>46935</v>
      </c>
      <c r="B156" s="9">
        <f>SUMIFS($I$5:$I$89,$A$5:$A$89,$A156,$E$5:$E$89,B$135)</f>
        <v/>
      </c>
      <c r="C156" s="9">
        <f>SUMIFS($I$5:$I$89,$A$5:$A$89,$A156,$E$5:$E$89,C$135)</f>
        <v/>
      </c>
      <c r="D156" s="9">
        <f>SUMIFS($I$5:$I$89,$A$5:$A$89,$A156,$E$5:$E$89,D$135)</f>
        <v/>
      </c>
      <c r="E156" s="9">
        <f>SUMIFS($I$5:$I$89,$A$5:$A$89,$A156,$E$5:$E$89,E$135)</f>
        <v/>
      </c>
      <c r="F156" s="9">
        <f>SUMIFS($I$5:$I$89,$A$5:$A$89,$A156,$E$5:$E$89,F$135)</f>
        <v/>
      </c>
      <c r="G156" s="9">
        <f>SUMIFS($I$5:$I$89,$A$5:$A$89,$A156,$E$5:$E$89,G$135)</f>
        <v/>
      </c>
      <c r="H156" s="9">
        <f>SUMIFS($I$5:$I$89,$A$5:$A$89,$A156,$E$5:$E$89,H$135)</f>
        <v/>
      </c>
      <c r="I156" s="9">
        <f>SUMIFS($I$5:$I$89,$A$5:$A$89,$A156,$E$5:$E$89,I$135)</f>
        <v/>
      </c>
      <c r="J156" s="9">
        <f>SUMIFS($I$5:$I$89,$A$5:$A$89,$A156,$E$5:$E$89,J$135)</f>
        <v/>
      </c>
      <c r="K156" s="9">
        <f>SUMIFS($I$5:$I$89,$A$5:$A$89,$A156,$E$5:$E$89,K$135)</f>
        <v/>
      </c>
      <c r="L156" s="9">
        <f>SUMIFS($I$5:$I$89,$A$5:$A$89,$A156,$E$5:$E$89,L$135)</f>
        <v/>
      </c>
      <c r="M156" s="9">
        <f>SUMIFS($I$5:$I$89,$A$5:$A$89,$A156,$E$5:$E$89,M$135)</f>
        <v/>
      </c>
      <c r="N156" s="9">
        <f>SUMIFS($I$5:$I$89,$A$5:$A$89,$A156,$E$5:$E$89,N$135)</f>
        <v/>
      </c>
      <c r="O156" s="9">
        <f>SUMIFS($I$5:$I$89,$A$5:$A$89,$A156,$E$5:$E$89,O$135)</f>
        <v/>
      </c>
      <c r="P156" s="9">
        <f>SUMIFS($I$5:$I$89,$A$5:$A$89,$A156,$E$5:$E$89,P$135)</f>
        <v/>
      </c>
      <c r="Q156" s="9">
        <f>SUM(B156:P156)</f>
        <v/>
      </c>
    </row>
    <row r="157">
      <c r="A157" s="24" t="n">
        <v>46966</v>
      </c>
      <c r="B157" s="9">
        <f>SUMIFS($I$5:$I$89,$A$5:$A$89,$A157,$E$5:$E$89,B$135)</f>
        <v/>
      </c>
      <c r="C157" s="9">
        <f>SUMIFS($I$5:$I$89,$A$5:$A$89,$A157,$E$5:$E$89,C$135)</f>
        <v/>
      </c>
      <c r="D157" s="9">
        <f>SUMIFS($I$5:$I$89,$A$5:$A$89,$A157,$E$5:$E$89,D$135)</f>
        <v/>
      </c>
      <c r="E157" s="9">
        <f>SUMIFS($I$5:$I$89,$A$5:$A$89,$A157,$E$5:$E$89,E$135)</f>
        <v/>
      </c>
      <c r="F157" s="9">
        <f>SUMIFS($I$5:$I$89,$A$5:$A$89,$A157,$E$5:$E$89,F$135)</f>
        <v/>
      </c>
      <c r="G157" s="9">
        <f>SUMIFS($I$5:$I$89,$A$5:$A$89,$A157,$E$5:$E$89,G$135)</f>
        <v/>
      </c>
      <c r="H157" s="9">
        <f>SUMIFS($I$5:$I$89,$A$5:$A$89,$A157,$E$5:$E$89,H$135)</f>
        <v/>
      </c>
      <c r="I157" s="9">
        <f>SUMIFS($I$5:$I$89,$A$5:$A$89,$A157,$E$5:$E$89,I$135)</f>
        <v/>
      </c>
      <c r="J157" s="9">
        <f>SUMIFS($I$5:$I$89,$A$5:$A$89,$A157,$E$5:$E$89,J$135)</f>
        <v/>
      </c>
      <c r="K157" s="9">
        <f>SUMIFS($I$5:$I$89,$A$5:$A$89,$A157,$E$5:$E$89,K$135)</f>
        <v/>
      </c>
      <c r="L157" s="9">
        <f>SUMIFS($I$5:$I$89,$A$5:$A$89,$A157,$E$5:$E$89,L$135)</f>
        <v/>
      </c>
      <c r="M157" s="9">
        <f>SUMIFS($I$5:$I$89,$A$5:$A$89,$A157,$E$5:$E$89,M$135)</f>
        <v/>
      </c>
      <c r="N157" s="9">
        <f>SUMIFS($I$5:$I$89,$A$5:$A$89,$A157,$E$5:$E$89,N$135)</f>
        <v/>
      </c>
      <c r="O157" s="9">
        <f>SUMIFS($I$5:$I$89,$A$5:$A$89,$A157,$E$5:$E$89,O$135)</f>
        <v/>
      </c>
      <c r="P157" s="9">
        <f>SUMIFS($I$5:$I$89,$A$5:$A$89,$A157,$E$5:$E$89,P$135)</f>
        <v/>
      </c>
      <c r="Q157" s="9">
        <f>SUM(B157:P157)</f>
        <v/>
      </c>
    </row>
    <row r="158">
      <c r="A158" s="24" t="n">
        <v>46997</v>
      </c>
      <c r="B158" s="9">
        <f>SUMIFS($I$5:$I$89,$A$5:$A$89,$A158,$E$5:$E$89,B$135)</f>
        <v/>
      </c>
      <c r="C158" s="9">
        <f>SUMIFS($I$5:$I$89,$A$5:$A$89,$A158,$E$5:$E$89,C$135)</f>
        <v/>
      </c>
      <c r="D158" s="9">
        <f>SUMIFS($I$5:$I$89,$A$5:$A$89,$A158,$E$5:$E$89,D$135)</f>
        <v/>
      </c>
      <c r="E158" s="9">
        <f>SUMIFS($I$5:$I$89,$A$5:$A$89,$A158,$E$5:$E$89,E$135)</f>
        <v/>
      </c>
      <c r="F158" s="9">
        <f>SUMIFS($I$5:$I$89,$A$5:$A$89,$A158,$E$5:$E$89,F$135)</f>
        <v/>
      </c>
      <c r="G158" s="9">
        <f>SUMIFS($I$5:$I$89,$A$5:$A$89,$A158,$E$5:$E$89,G$135)</f>
        <v/>
      </c>
      <c r="H158" s="9">
        <f>SUMIFS($I$5:$I$89,$A$5:$A$89,$A158,$E$5:$E$89,H$135)</f>
        <v/>
      </c>
      <c r="I158" s="9">
        <f>SUMIFS($I$5:$I$89,$A$5:$A$89,$A158,$E$5:$E$89,I$135)</f>
        <v/>
      </c>
      <c r="J158" s="9">
        <f>SUMIFS($I$5:$I$89,$A$5:$A$89,$A158,$E$5:$E$89,J$135)</f>
        <v/>
      </c>
      <c r="K158" s="9">
        <f>SUMIFS($I$5:$I$89,$A$5:$A$89,$A158,$E$5:$E$89,K$135)</f>
        <v/>
      </c>
      <c r="L158" s="9">
        <f>SUMIFS($I$5:$I$89,$A$5:$A$89,$A158,$E$5:$E$89,L$135)</f>
        <v/>
      </c>
      <c r="M158" s="9">
        <f>SUMIFS($I$5:$I$89,$A$5:$A$89,$A158,$E$5:$E$89,M$135)</f>
        <v/>
      </c>
      <c r="N158" s="9">
        <f>SUMIFS($I$5:$I$89,$A$5:$A$89,$A158,$E$5:$E$89,N$135)</f>
        <v/>
      </c>
      <c r="O158" s="9">
        <f>SUMIFS($I$5:$I$89,$A$5:$A$89,$A158,$E$5:$E$89,O$135)</f>
        <v/>
      </c>
      <c r="P158" s="9">
        <f>SUMIFS($I$5:$I$89,$A$5:$A$89,$A158,$E$5:$E$89,P$135)</f>
        <v/>
      </c>
      <c r="Q158" s="9">
        <f>SUM(B158:P158)</f>
        <v/>
      </c>
    </row>
    <row r="159">
      <c r="A159" s="24" t="n">
        <v>47027</v>
      </c>
      <c r="B159" s="9">
        <f>SUMIFS($I$5:$I$89,$A$5:$A$89,$A159,$E$5:$E$89,B$135)</f>
        <v/>
      </c>
      <c r="C159" s="9">
        <f>SUMIFS($I$5:$I$89,$A$5:$A$89,$A159,$E$5:$E$89,C$135)</f>
        <v/>
      </c>
      <c r="D159" s="9">
        <f>SUMIFS($I$5:$I$89,$A$5:$A$89,$A159,$E$5:$E$89,D$135)</f>
        <v/>
      </c>
      <c r="E159" s="9">
        <f>SUMIFS($I$5:$I$89,$A$5:$A$89,$A159,$E$5:$E$89,E$135)</f>
        <v/>
      </c>
      <c r="F159" s="9">
        <f>SUMIFS($I$5:$I$89,$A$5:$A$89,$A159,$E$5:$E$89,F$135)</f>
        <v/>
      </c>
      <c r="G159" s="9">
        <f>SUMIFS($I$5:$I$89,$A$5:$A$89,$A159,$E$5:$E$89,G$135)</f>
        <v/>
      </c>
      <c r="H159" s="9">
        <f>SUMIFS($I$5:$I$89,$A$5:$A$89,$A159,$E$5:$E$89,H$135)</f>
        <v/>
      </c>
      <c r="I159" s="9">
        <f>SUMIFS($I$5:$I$89,$A$5:$A$89,$A159,$E$5:$E$89,I$135)</f>
        <v/>
      </c>
      <c r="J159" s="9">
        <f>SUMIFS($I$5:$I$89,$A$5:$A$89,$A159,$E$5:$E$89,J$135)</f>
        <v/>
      </c>
      <c r="K159" s="9">
        <f>SUMIFS($I$5:$I$89,$A$5:$A$89,$A159,$E$5:$E$89,K$135)</f>
        <v/>
      </c>
      <c r="L159" s="9">
        <f>SUMIFS($I$5:$I$89,$A$5:$A$89,$A159,$E$5:$E$89,L$135)</f>
        <v/>
      </c>
      <c r="M159" s="9">
        <f>SUMIFS($I$5:$I$89,$A$5:$A$89,$A159,$E$5:$E$89,M$135)</f>
        <v/>
      </c>
      <c r="N159" s="9">
        <f>SUMIFS($I$5:$I$89,$A$5:$A$89,$A159,$E$5:$E$89,N$135)</f>
        <v/>
      </c>
      <c r="O159" s="9">
        <f>SUMIFS($I$5:$I$89,$A$5:$A$89,$A159,$E$5:$E$89,O$135)</f>
        <v/>
      </c>
      <c r="P159" s="9">
        <f>SUMIFS($I$5:$I$89,$A$5:$A$89,$A159,$E$5:$E$89,P$135)</f>
        <v/>
      </c>
      <c r="Q159" s="9">
        <f>SUM(B159:P159)</f>
        <v/>
      </c>
    </row>
    <row r="160">
      <c r="A160" s="24" t="n">
        <v>47058</v>
      </c>
      <c r="B160" s="9">
        <f>SUMIFS($I$5:$I$89,$A$5:$A$89,$A160,$E$5:$E$89,B$135)</f>
        <v/>
      </c>
      <c r="C160" s="9">
        <f>SUMIFS($I$5:$I$89,$A$5:$A$89,$A160,$E$5:$E$89,C$135)</f>
        <v/>
      </c>
      <c r="D160" s="9">
        <f>SUMIFS($I$5:$I$89,$A$5:$A$89,$A160,$E$5:$E$89,D$135)</f>
        <v/>
      </c>
      <c r="E160" s="9">
        <f>SUMIFS($I$5:$I$89,$A$5:$A$89,$A160,$E$5:$E$89,E$135)</f>
        <v/>
      </c>
      <c r="F160" s="9">
        <f>SUMIFS($I$5:$I$89,$A$5:$A$89,$A160,$E$5:$E$89,F$135)</f>
        <v/>
      </c>
      <c r="G160" s="9">
        <f>SUMIFS($I$5:$I$89,$A$5:$A$89,$A160,$E$5:$E$89,G$135)</f>
        <v/>
      </c>
      <c r="H160" s="9">
        <f>SUMIFS($I$5:$I$89,$A$5:$A$89,$A160,$E$5:$E$89,H$135)</f>
        <v/>
      </c>
      <c r="I160" s="9">
        <f>SUMIFS($I$5:$I$89,$A$5:$A$89,$A160,$E$5:$E$89,I$135)</f>
        <v/>
      </c>
      <c r="J160" s="9">
        <f>SUMIFS($I$5:$I$89,$A$5:$A$89,$A160,$E$5:$E$89,J$135)</f>
        <v/>
      </c>
      <c r="K160" s="9">
        <f>SUMIFS($I$5:$I$89,$A$5:$A$89,$A160,$E$5:$E$89,K$135)</f>
        <v/>
      </c>
      <c r="L160" s="9">
        <f>SUMIFS($I$5:$I$89,$A$5:$A$89,$A160,$E$5:$E$89,L$135)</f>
        <v/>
      </c>
      <c r="M160" s="9">
        <f>SUMIFS($I$5:$I$89,$A$5:$A$89,$A160,$E$5:$E$89,M$135)</f>
        <v/>
      </c>
      <c r="N160" s="9">
        <f>SUMIFS($I$5:$I$89,$A$5:$A$89,$A160,$E$5:$E$89,N$135)</f>
        <v/>
      </c>
      <c r="O160" s="9">
        <f>SUMIFS($I$5:$I$89,$A$5:$A$89,$A160,$E$5:$E$89,O$135)</f>
        <v/>
      </c>
      <c r="P160" s="9">
        <f>SUMIFS($I$5:$I$89,$A$5:$A$89,$A160,$E$5:$E$89,P$135)</f>
        <v/>
      </c>
      <c r="Q160" s="9">
        <f>SUM(B160:P160)</f>
        <v/>
      </c>
    </row>
    <row r="161">
      <c r="A161" s="24" t="n">
        <v>47088</v>
      </c>
      <c r="B161" s="9">
        <f>SUMIFS($I$5:$I$89,$A$5:$A$89,$A161,$E$5:$E$89,B$135)</f>
        <v/>
      </c>
      <c r="C161" s="9">
        <f>SUMIFS($I$5:$I$89,$A$5:$A$89,$A161,$E$5:$E$89,C$135)</f>
        <v/>
      </c>
      <c r="D161" s="9">
        <f>SUMIFS($I$5:$I$89,$A$5:$A$89,$A161,$E$5:$E$89,D$135)</f>
        <v/>
      </c>
      <c r="E161" s="9">
        <f>SUMIFS($I$5:$I$89,$A$5:$A$89,$A161,$E$5:$E$89,E$135)</f>
        <v/>
      </c>
      <c r="F161" s="9">
        <f>SUMIFS($I$5:$I$89,$A$5:$A$89,$A161,$E$5:$E$89,F$135)</f>
        <v/>
      </c>
      <c r="G161" s="9">
        <f>SUMIFS($I$5:$I$89,$A$5:$A$89,$A161,$E$5:$E$89,G$135)</f>
        <v/>
      </c>
      <c r="H161" s="9">
        <f>SUMIFS($I$5:$I$89,$A$5:$A$89,$A161,$E$5:$E$89,H$135)</f>
        <v/>
      </c>
      <c r="I161" s="9">
        <f>SUMIFS($I$5:$I$89,$A$5:$A$89,$A161,$E$5:$E$89,I$135)</f>
        <v/>
      </c>
      <c r="J161" s="9">
        <f>SUMIFS($I$5:$I$89,$A$5:$A$89,$A161,$E$5:$E$89,J$135)</f>
        <v/>
      </c>
      <c r="K161" s="9">
        <f>SUMIFS($I$5:$I$89,$A$5:$A$89,$A161,$E$5:$E$89,K$135)</f>
        <v/>
      </c>
      <c r="L161" s="9">
        <f>SUMIFS($I$5:$I$89,$A$5:$A$89,$A161,$E$5:$E$89,L$135)</f>
        <v/>
      </c>
      <c r="M161" s="9">
        <f>SUMIFS($I$5:$I$89,$A$5:$A$89,$A161,$E$5:$E$89,M$135)</f>
        <v/>
      </c>
      <c r="N161" s="9">
        <f>SUMIFS($I$5:$I$89,$A$5:$A$89,$A161,$E$5:$E$89,N$135)</f>
        <v/>
      </c>
      <c r="O161" s="9">
        <f>SUMIFS($I$5:$I$89,$A$5:$A$89,$A161,$E$5:$E$89,O$135)</f>
        <v/>
      </c>
      <c r="P161" s="9">
        <f>SUMIFS($I$5:$I$89,$A$5:$A$89,$A161,$E$5:$E$89,P$135)</f>
        <v/>
      </c>
      <c r="Q161" s="9">
        <f>SUM(B161:P161)</f>
        <v/>
      </c>
    </row>
    <row r="162">
      <c r="A162" s="24" t="n">
        <v>47119</v>
      </c>
      <c r="B162" s="9">
        <f>SUMIFS($I$5:$I$89,$A$5:$A$89,$A162,$E$5:$E$89,B$135)</f>
        <v/>
      </c>
      <c r="C162" s="9">
        <f>SUMIFS($I$5:$I$89,$A$5:$A$89,$A162,$E$5:$E$89,C$135)</f>
        <v/>
      </c>
      <c r="D162" s="9">
        <f>SUMIFS($I$5:$I$89,$A$5:$A$89,$A162,$E$5:$E$89,D$135)</f>
        <v/>
      </c>
      <c r="E162" s="9">
        <f>SUMIFS($I$5:$I$89,$A$5:$A$89,$A162,$E$5:$E$89,E$135)</f>
        <v/>
      </c>
      <c r="F162" s="9">
        <f>SUMIFS($I$5:$I$89,$A$5:$A$89,$A162,$E$5:$E$89,F$135)</f>
        <v/>
      </c>
      <c r="G162" s="9">
        <f>SUMIFS($I$5:$I$89,$A$5:$A$89,$A162,$E$5:$E$89,G$135)</f>
        <v/>
      </c>
      <c r="H162" s="9">
        <f>SUMIFS($I$5:$I$89,$A$5:$A$89,$A162,$E$5:$E$89,H$135)</f>
        <v/>
      </c>
      <c r="I162" s="9">
        <f>SUMIFS($I$5:$I$89,$A$5:$A$89,$A162,$E$5:$E$89,I$135)</f>
        <v/>
      </c>
      <c r="J162" s="9">
        <f>SUMIFS($I$5:$I$89,$A$5:$A$89,$A162,$E$5:$E$89,J$135)</f>
        <v/>
      </c>
      <c r="K162" s="9">
        <f>SUMIFS($I$5:$I$89,$A$5:$A$89,$A162,$E$5:$E$89,K$135)</f>
        <v/>
      </c>
      <c r="L162" s="9">
        <f>SUMIFS($I$5:$I$89,$A$5:$A$89,$A162,$E$5:$E$89,L$135)</f>
        <v/>
      </c>
      <c r="M162" s="9">
        <f>SUMIFS($I$5:$I$89,$A$5:$A$89,$A162,$E$5:$E$89,M$135)</f>
        <v/>
      </c>
      <c r="N162" s="9">
        <f>SUMIFS($I$5:$I$89,$A$5:$A$89,$A162,$E$5:$E$89,N$135)</f>
        <v/>
      </c>
      <c r="O162" s="9">
        <f>SUMIFS($I$5:$I$89,$A$5:$A$89,$A162,$E$5:$E$89,O$135)</f>
        <v/>
      </c>
      <c r="P162" s="9">
        <f>SUMIFS($I$5:$I$89,$A$5:$A$89,$A162,$E$5:$E$89,P$135)</f>
        <v/>
      </c>
      <c r="Q162" s="9">
        <f>SUM(B162:P162)</f>
        <v/>
      </c>
    </row>
    <row r="163">
      <c r="A163" s="24" t="n">
        <v>47150</v>
      </c>
      <c r="B163" s="9">
        <f>SUMIFS($I$5:$I$89,$A$5:$A$89,$A163,$E$5:$E$89,B$135)</f>
        <v/>
      </c>
      <c r="C163" s="9">
        <f>SUMIFS($I$5:$I$89,$A$5:$A$89,$A163,$E$5:$E$89,C$135)</f>
        <v/>
      </c>
      <c r="D163" s="9">
        <f>SUMIFS($I$5:$I$89,$A$5:$A$89,$A163,$E$5:$E$89,D$135)</f>
        <v/>
      </c>
      <c r="E163" s="9">
        <f>SUMIFS($I$5:$I$89,$A$5:$A$89,$A163,$E$5:$E$89,E$135)</f>
        <v/>
      </c>
      <c r="F163" s="9">
        <f>SUMIFS($I$5:$I$89,$A$5:$A$89,$A163,$E$5:$E$89,F$135)</f>
        <v/>
      </c>
      <c r="G163" s="9">
        <f>SUMIFS($I$5:$I$89,$A$5:$A$89,$A163,$E$5:$E$89,G$135)</f>
        <v/>
      </c>
      <c r="H163" s="9">
        <f>SUMIFS($I$5:$I$89,$A$5:$A$89,$A163,$E$5:$E$89,H$135)</f>
        <v/>
      </c>
      <c r="I163" s="9">
        <f>SUMIFS($I$5:$I$89,$A$5:$A$89,$A163,$E$5:$E$89,I$135)</f>
        <v/>
      </c>
      <c r="J163" s="9">
        <f>SUMIFS($I$5:$I$89,$A$5:$A$89,$A163,$E$5:$E$89,J$135)</f>
        <v/>
      </c>
      <c r="K163" s="9">
        <f>SUMIFS($I$5:$I$89,$A$5:$A$89,$A163,$E$5:$E$89,K$135)</f>
        <v/>
      </c>
      <c r="L163" s="9">
        <f>SUMIFS($I$5:$I$89,$A$5:$A$89,$A163,$E$5:$E$89,L$135)</f>
        <v/>
      </c>
      <c r="M163" s="9">
        <f>SUMIFS($I$5:$I$89,$A$5:$A$89,$A163,$E$5:$E$89,M$135)</f>
        <v/>
      </c>
      <c r="N163" s="9">
        <f>SUMIFS($I$5:$I$89,$A$5:$A$89,$A163,$E$5:$E$89,N$135)</f>
        <v/>
      </c>
      <c r="O163" s="9">
        <f>SUMIFS($I$5:$I$89,$A$5:$A$89,$A163,$E$5:$E$89,O$135)</f>
        <v/>
      </c>
      <c r="P163" s="9">
        <f>SUMIFS($I$5:$I$89,$A$5:$A$89,$A163,$E$5:$E$89,P$135)</f>
        <v/>
      </c>
      <c r="Q163" s="9">
        <f>SUM(B163:P163)</f>
        <v/>
      </c>
    </row>
    <row r="164">
      <c r="A164" s="24" t="n">
        <v>47178</v>
      </c>
      <c r="B164" s="9">
        <f>SUMIFS($I$5:$I$89,$A$5:$A$89,$A164,$E$5:$E$89,B$135)</f>
        <v/>
      </c>
      <c r="C164" s="9">
        <f>SUMIFS($I$5:$I$89,$A$5:$A$89,$A164,$E$5:$E$89,C$135)</f>
        <v/>
      </c>
      <c r="D164" s="9">
        <f>SUMIFS($I$5:$I$89,$A$5:$A$89,$A164,$E$5:$E$89,D$135)</f>
        <v/>
      </c>
      <c r="E164" s="9">
        <f>SUMIFS($I$5:$I$89,$A$5:$A$89,$A164,$E$5:$E$89,E$135)</f>
        <v/>
      </c>
      <c r="F164" s="9">
        <f>SUMIFS($I$5:$I$89,$A$5:$A$89,$A164,$E$5:$E$89,F$135)</f>
        <v/>
      </c>
      <c r="G164" s="9">
        <f>SUMIFS($I$5:$I$89,$A$5:$A$89,$A164,$E$5:$E$89,G$135)</f>
        <v/>
      </c>
      <c r="H164" s="9">
        <f>SUMIFS($I$5:$I$89,$A$5:$A$89,$A164,$E$5:$E$89,H$135)</f>
        <v/>
      </c>
      <c r="I164" s="9">
        <f>SUMIFS($I$5:$I$89,$A$5:$A$89,$A164,$E$5:$E$89,I$135)</f>
        <v/>
      </c>
      <c r="J164" s="9">
        <f>SUMIFS($I$5:$I$89,$A$5:$A$89,$A164,$E$5:$E$89,J$135)</f>
        <v/>
      </c>
      <c r="K164" s="9">
        <f>SUMIFS($I$5:$I$89,$A$5:$A$89,$A164,$E$5:$E$89,K$135)</f>
        <v/>
      </c>
      <c r="L164" s="9">
        <f>SUMIFS($I$5:$I$89,$A$5:$A$89,$A164,$E$5:$E$89,L$135)</f>
        <v/>
      </c>
      <c r="M164" s="9">
        <f>SUMIFS($I$5:$I$89,$A$5:$A$89,$A164,$E$5:$E$89,M$135)</f>
        <v/>
      </c>
      <c r="N164" s="9">
        <f>SUMIFS($I$5:$I$89,$A$5:$A$89,$A164,$E$5:$E$89,N$135)</f>
        <v/>
      </c>
      <c r="O164" s="9">
        <f>SUMIFS($I$5:$I$89,$A$5:$A$89,$A164,$E$5:$E$89,O$135)</f>
        <v/>
      </c>
      <c r="P164" s="9">
        <f>SUMIFS($I$5:$I$89,$A$5:$A$89,$A164,$E$5:$E$89,P$135)</f>
        <v/>
      </c>
      <c r="Q164" s="9">
        <f>SUM(B164:P164)</f>
        <v/>
      </c>
    </row>
    <row r="165">
      <c r="A165" s="24" t="n">
        <v>47209</v>
      </c>
      <c r="B165" s="9">
        <f>SUMIFS($I$5:$I$89,$A$5:$A$89,$A165,$E$5:$E$89,B$135)</f>
        <v/>
      </c>
      <c r="C165" s="9">
        <f>SUMIFS($I$5:$I$89,$A$5:$A$89,$A165,$E$5:$E$89,C$135)</f>
        <v/>
      </c>
      <c r="D165" s="9">
        <f>SUMIFS($I$5:$I$89,$A$5:$A$89,$A165,$E$5:$E$89,D$135)</f>
        <v/>
      </c>
      <c r="E165" s="9">
        <f>SUMIFS($I$5:$I$89,$A$5:$A$89,$A165,$E$5:$E$89,E$135)</f>
        <v/>
      </c>
      <c r="F165" s="9">
        <f>SUMIFS($I$5:$I$89,$A$5:$A$89,$A165,$E$5:$E$89,F$135)</f>
        <v/>
      </c>
      <c r="G165" s="9">
        <f>SUMIFS($I$5:$I$89,$A$5:$A$89,$A165,$E$5:$E$89,G$135)</f>
        <v/>
      </c>
      <c r="H165" s="9">
        <f>SUMIFS($I$5:$I$89,$A$5:$A$89,$A165,$E$5:$E$89,H$135)</f>
        <v/>
      </c>
      <c r="I165" s="9">
        <f>SUMIFS($I$5:$I$89,$A$5:$A$89,$A165,$E$5:$E$89,I$135)</f>
        <v/>
      </c>
      <c r="J165" s="9">
        <f>SUMIFS($I$5:$I$89,$A$5:$A$89,$A165,$E$5:$E$89,J$135)</f>
        <v/>
      </c>
      <c r="K165" s="9">
        <f>SUMIFS($I$5:$I$89,$A$5:$A$89,$A165,$E$5:$E$89,K$135)</f>
        <v/>
      </c>
      <c r="L165" s="9">
        <f>SUMIFS($I$5:$I$89,$A$5:$A$89,$A165,$E$5:$E$89,L$135)</f>
        <v/>
      </c>
      <c r="M165" s="9">
        <f>SUMIFS($I$5:$I$89,$A$5:$A$89,$A165,$E$5:$E$89,M$135)</f>
        <v/>
      </c>
      <c r="N165" s="9">
        <f>SUMIFS($I$5:$I$89,$A$5:$A$89,$A165,$E$5:$E$89,N$135)</f>
        <v/>
      </c>
      <c r="O165" s="9">
        <f>SUMIFS($I$5:$I$89,$A$5:$A$89,$A165,$E$5:$E$89,O$135)</f>
        <v/>
      </c>
      <c r="P165" s="9">
        <f>SUMIFS($I$5:$I$89,$A$5:$A$89,$A165,$E$5:$E$89,P$135)</f>
        <v/>
      </c>
      <c r="Q165" s="9">
        <f>SUM(B165:P165)</f>
        <v/>
      </c>
    </row>
    <row r="166">
      <c r="A166" s="24" t="n">
        <v>47239</v>
      </c>
      <c r="B166" s="9">
        <f>SUMIFS($I$5:$I$89,$A$5:$A$89,$A166,$E$5:$E$89,B$135)</f>
        <v/>
      </c>
      <c r="C166" s="9">
        <f>SUMIFS($I$5:$I$89,$A$5:$A$89,$A166,$E$5:$E$89,C$135)</f>
        <v/>
      </c>
      <c r="D166" s="9">
        <f>SUMIFS($I$5:$I$89,$A$5:$A$89,$A166,$E$5:$E$89,D$135)</f>
        <v/>
      </c>
      <c r="E166" s="9">
        <f>SUMIFS($I$5:$I$89,$A$5:$A$89,$A166,$E$5:$E$89,E$135)</f>
        <v/>
      </c>
      <c r="F166" s="9">
        <f>SUMIFS($I$5:$I$89,$A$5:$A$89,$A166,$E$5:$E$89,F$135)</f>
        <v/>
      </c>
      <c r="G166" s="9">
        <f>SUMIFS($I$5:$I$89,$A$5:$A$89,$A166,$E$5:$E$89,G$135)</f>
        <v/>
      </c>
      <c r="H166" s="9">
        <f>SUMIFS($I$5:$I$89,$A$5:$A$89,$A166,$E$5:$E$89,H$135)</f>
        <v/>
      </c>
      <c r="I166" s="9">
        <f>SUMIFS($I$5:$I$89,$A$5:$A$89,$A166,$E$5:$E$89,I$135)</f>
        <v/>
      </c>
      <c r="J166" s="9">
        <f>SUMIFS($I$5:$I$89,$A$5:$A$89,$A166,$E$5:$E$89,J$135)</f>
        <v/>
      </c>
      <c r="K166" s="9">
        <f>SUMIFS($I$5:$I$89,$A$5:$A$89,$A166,$E$5:$E$89,K$135)</f>
        <v/>
      </c>
      <c r="L166" s="9">
        <f>SUMIFS($I$5:$I$89,$A$5:$A$89,$A166,$E$5:$E$89,L$135)</f>
        <v/>
      </c>
      <c r="M166" s="9">
        <f>SUMIFS($I$5:$I$89,$A$5:$A$89,$A166,$E$5:$E$89,M$135)</f>
        <v/>
      </c>
      <c r="N166" s="9">
        <f>SUMIFS($I$5:$I$89,$A$5:$A$89,$A166,$E$5:$E$89,N$135)</f>
        <v/>
      </c>
      <c r="O166" s="9">
        <f>SUMIFS($I$5:$I$89,$A$5:$A$89,$A166,$E$5:$E$89,O$135)</f>
        <v/>
      </c>
      <c r="P166" s="9">
        <f>SUMIFS($I$5:$I$89,$A$5:$A$89,$A166,$E$5:$E$89,P$135)</f>
        <v/>
      </c>
      <c r="Q166" s="9">
        <f>SUM(B166:P166)</f>
        <v/>
      </c>
    </row>
    <row r="167">
      <c r="A167" s="24" t="n">
        <v>47270</v>
      </c>
      <c r="B167" s="9">
        <f>SUMIFS($I$5:$I$89,$A$5:$A$89,$A167,$E$5:$E$89,B$135)</f>
        <v/>
      </c>
      <c r="C167" s="9">
        <f>SUMIFS($I$5:$I$89,$A$5:$A$89,$A167,$E$5:$E$89,C$135)</f>
        <v/>
      </c>
      <c r="D167" s="9">
        <f>SUMIFS($I$5:$I$89,$A$5:$A$89,$A167,$E$5:$E$89,D$135)</f>
        <v/>
      </c>
      <c r="E167" s="9">
        <f>SUMIFS($I$5:$I$89,$A$5:$A$89,$A167,$E$5:$E$89,E$135)</f>
        <v/>
      </c>
      <c r="F167" s="9">
        <f>SUMIFS($I$5:$I$89,$A$5:$A$89,$A167,$E$5:$E$89,F$135)</f>
        <v/>
      </c>
      <c r="G167" s="9">
        <f>SUMIFS($I$5:$I$89,$A$5:$A$89,$A167,$E$5:$E$89,G$135)</f>
        <v/>
      </c>
      <c r="H167" s="9">
        <f>SUMIFS($I$5:$I$89,$A$5:$A$89,$A167,$E$5:$E$89,H$135)</f>
        <v/>
      </c>
      <c r="I167" s="9">
        <f>SUMIFS($I$5:$I$89,$A$5:$A$89,$A167,$E$5:$E$89,I$135)</f>
        <v/>
      </c>
      <c r="J167" s="9">
        <f>SUMIFS($I$5:$I$89,$A$5:$A$89,$A167,$E$5:$E$89,J$135)</f>
        <v/>
      </c>
      <c r="K167" s="9">
        <f>SUMIFS($I$5:$I$89,$A$5:$A$89,$A167,$E$5:$E$89,K$135)</f>
        <v/>
      </c>
      <c r="L167" s="9">
        <f>SUMIFS($I$5:$I$89,$A$5:$A$89,$A167,$E$5:$E$89,L$135)</f>
        <v/>
      </c>
      <c r="M167" s="9">
        <f>SUMIFS($I$5:$I$89,$A$5:$A$89,$A167,$E$5:$E$89,M$135)</f>
        <v/>
      </c>
      <c r="N167" s="9">
        <f>SUMIFS($I$5:$I$89,$A$5:$A$89,$A167,$E$5:$E$89,N$135)</f>
        <v/>
      </c>
      <c r="O167" s="9">
        <f>SUMIFS($I$5:$I$89,$A$5:$A$89,$A167,$E$5:$E$89,O$135)</f>
        <v/>
      </c>
      <c r="P167" s="9">
        <f>SUMIFS($I$5:$I$89,$A$5:$A$89,$A167,$E$5:$E$89,P$135)</f>
        <v/>
      </c>
      <c r="Q167" s="9">
        <f>SUM(B167:P167)</f>
        <v/>
      </c>
    </row>
    <row r="168">
      <c r="A168" s="24" t="n">
        <v>47300</v>
      </c>
      <c r="B168" s="9">
        <f>SUMIFS($I$5:$I$89,$A$5:$A$89,$A168,$E$5:$E$89,B$135)</f>
        <v/>
      </c>
      <c r="C168" s="9">
        <f>SUMIFS($I$5:$I$89,$A$5:$A$89,$A168,$E$5:$E$89,C$135)</f>
        <v/>
      </c>
      <c r="D168" s="9">
        <f>SUMIFS($I$5:$I$89,$A$5:$A$89,$A168,$E$5:$E$89,D$135)</f>
        <v/>
      </c>
      <c r="E168" s="9">
        <f>SUMIFS($I$5:$I$89,$A$5:$A$89,$A168,$E$5:$E$89,E$135)</f>
        <v/>
      </c>
      <c r="F168" s="9">
        <f>SUMIFS($I$5:$I$89,$A$5:$A$89,$A168,$E$5:$E$89,F$135)</f>
        <v/>
      </c>
      <c r="G168" s="9">
        <f>SUMIFS($I$5:$I$89,$A$5:$A$89,$A168,$E$5:$E$89,G$135)</f>
        <v/>
      </c>
      <c r="H168" s="9">
        <f>SUMIFS($I$5:$I$89,$A$5:$A$89,$A168,$E$5:$E$89,H$135)</f>
        <v/>
      </c>
      <c r="I168" s="9">
        <f>SUMIFS($I$5:$I$89,$A$5:$A$89,$A168,$E$5:$E$89,I$135)</f>
        <v/>
      </c>
      <c r="J168" s="9">
        <f>SUMIFS($I$5:$I$89,$A$5:$A$89,$A168,$E$5:$E$89,J$135)</f>
        <v/>
      </c>
      <c r="K168" s="9">
        <f>SUMIFS($I$5:$I$89,$A$5:$A$89,$A168,$E$5:$E$89,K$135)</f>
        <v/>
      </c>
      <c r="L168" s="9">
        <f>SUMIFS($I$5:$I$89,$A$5:$A$89,$A168,$E$5:$E$89,L$135)</f>
        <v/>
      </c>
      <c r="M168" s="9">
        <f>SUMIFS($I$5:$I$89,$A$5:$A$89,$A168,$E$5:$E$89,M$135)</f>
        <v/>
      </c>
      <c r="N168" s="9">
        <f>SUMIFS($I$5:$I$89,$A$5:$A$89,$A168,$E$5:$E$89,N$135)</f>
        <v/>
      </c>
      <c r="O168" s="9">
        <f>SUMIFS($I$5:$I$89,$A$5:$A$89,$A168,$E$5:$E$89,O$135)</f>
        <v/>
      </c>
      <c r="P168" s="9">
        <f>SUMIFS($I$5:$I$89,$A$5:$A$89,$A168,$E$5:$E$89,P$135)</f>
        <v/>
      </c>
      <c r="Q168" s="9">
        <f>SUM(B168:P168)</f>
        <v/>
      </c>
    </row>
    <row r="169">
      <c r="A169" s="24" t="n">
        <v>47331</v>
      </c>
      <c r="B169" s="9">
        <f>SUMIFS($I$5:$I$89,$A$5:$A$89,$A169,$E$5:$E$89,B$135)</f>
        <v/>
      </c>
      <c r="C169" s="9">
        <f>SUMIFS($I$5:$I$89,$A$5:$A$89,$A169,$E$5:$E$89,C$135)</f>
        <v/>
      </c>
      <c r="D169" s="9">
        <f>SUMIFS($I$5:$I$89,$A$5:$A$89,$A169,$E$5:$E$89,D$135)</f>
        <v/>
      </c>
      <c r="E169" s="9">
        <f>SUMIFS($I$5:$I$89,$A$5:$A$89,$A169,$E$5:$E$89,E$135)</f>
        <v/>
      </c>
      <c r="F169" s="9">
        <f>SUMIFS($I$5:$I$89,$A$5:$A$89,$A169,$E$5:$E$89,F$135)</f>
        <v/>
      </c>
      <c r="G169" s="9">
        <f>SUMIFS($I$5:$I$89,$A$5:$A$89,$A169,$E$5:$E$89,G$135)</f>
        <v/>
      </c>
      <c r="H169" s="9">
        <f>SUMIFS($I$5:$I$89,$A$5:$A$89,$A169,$E$5:$E$89,H$135)</f>
        <v/>
      </c>
      <c r="I169" s="9">
        <f>SUMIFS($I$5:$I$89,$A$5:$A$89,$A169,$E$5:$E$89,I$135)</f>
        <v/>
      </c>
      <c r="J169" s="9">
        <f>SUMIFS($I$5:$I$89,$A$5:$A$89,$A169,$E$5:$E$89,J$135)</f>
        <v/>
      </c>
      <c r="K169" s="9">
        <f>SUMIFS($I$5:$I$89,$A$5:$A$89,$A169,$E$5:$E$89,K$135)</f>
        <v/>
      </c>
      <c r="L169" s="9">
        <f>SUMIFS($I$5:$I$89,$A$5:$A$89,$A169,$E$5:$E$89,L$135)</f>
        <v/>
      </c>
      <c r="M169" s="9">
        <f>SUMIFS($I$5:$I$89,$A$5:$A$89,$A169,$E$5:$E$89,M$135)</f>
        <v/>
      </c>
      <c r="N169" s="9">
        <f>SUMIFS($I$5:$I$89,$A$5:$A$89,$A169,$E$5:$E$89,N$135)</f>
        <v/>
      </c>
      <c r="O169" s="9">
        <f>SUMIFS($I$5:$I$89,$A$5:$A$89,$A169,$E$5:$E$89,O$135)</f>
        <v/>
      </c>
      <c r="P169" s="9">
        <f>SUMIFS($I$5:$I$89,$A$5:$A$89,$A169,$E$5:$E$89,P$135)</f>
        <v/>
      </c>
      <c r="Q169" s="9">
        <f>SUM(B169:P169)</f>
        <v/>
      </c>
    </row>
    <row r="170">
      <c r="A170" s="24" t="n">
        <v>47362</v>
      </c>
      <c r="B170" s="9">
        <f>SUMIFS($I$5:$I$89,$A$5:$A$89,$A170,$E$5:$E$89,B$135)</f>
        <v/>
      </c>
      <c r="C170" s="9">
        <f>SUMIFS($I$5:$I$89,$A$5:$A$89,$A170,$E$5:$E$89,C$135)</f>
        <v/>
      </c>
      <c r="D170" s="9">
        <f>SUMIFS($I$5:$I$89,$A$5:$A$89,$A170,$E$5:$E$89,D$135)</f>
        <v/>
      </c>
      <c r="E170" s="9">
        <f>SUMIFS($I$5:$I$89,$A$5:$A$89,$A170,$E$5:$E$89,E$135)</f>
        <v/>
      </c>
      <c r="F170" s="9">
        <f>SUMIFS($I$5:$I$89,$A$5:$A$89,$A170,$E$5:$E$89,F$135)</f>
        <v/>
      </c>
      <c r="G170" s="9">
        <f>SUMIFS($I$5:$I$89,$A$5:$A$89,$A170,$E$5:$E$89,G$135)</f>
        <v/>
      </c>
      <c r="H170" s="9">
        <f>SUMIFS($I$5:$I$89,$A$5:$A$89,$A170,$E$5:$E$89,H$135)</f>
        <v/>
      </c>
      <c r="I170" s="9">
        <f>SUMIFS($I$5:$I$89,$A$5:$A$89,$A170,$E$5:$E$89,I$135)</f>
        <v/>
      </c>
      <c r="J170" s="9">
        <f>SUMIFS($I$5:$I$89,$A$5:$A$89,$A170,$E$5:$E$89,J$135)</f>
        <v/>
      </c>
      <c r="K170" s="9">
        <f>SUMIFS($I$5:$I$89,$A$5:$A$89,$A170,$E$5:$E$89,K$135)</f>
        <v/>
      </c>
      <c r="L170" s="9">
        <f>SUMIFS($I$5:$I$89,$A$5:$A$89,$A170,$E$5:$E$89,L$135)</f>
        <v/>
      </c>
      <c r="M170" s="9">
        <f>SUMIFS($I$5:$I$89,$A$5:$A$89,$A170,$E$5:$E$89,M$135)</f>
        <v/>
      </c>
      <c r="N170" s="9">
        <f>SUMIFS($I$5:$I$89,$A$5:$A$89,$A170,$E$5:$E$89,N$135)</f>
        <v/>
      </c>
      <c r="O170" s="9">
        <f>SUMIFS($I$5:$I$89,$A$5:$A$89,$A170,$E$5:$E$89,O$135)</f>
        <v/>
      </c>
      <c r="P170" s="9">
        <f>SUMIFS($I$5:$I$89,$A$5:$A$89,$A170,$E$5:$E$89,P$135)</f>
        <v/>
      </c>
      <c r="Q170" s="9">
        <f>SUM(B170:P170)</f>
        <v/>
      </c>
    </row>
    <row r="171">
      <c r="A171" s="24" t="n">
        <v>47392</v>
      </c>
      <c r="B171" s="9">
        <f>SUMIFS($I$5:$I$89,$A$5:$A$89,$A171,$E$5:$E$89,B$135)</f>
        <v/>
      </c>
      <c r="C171" s="9">
        <f>SUMIFS($I$5:$I$89,$A$5:$A$89,$A171,$E$5:$E$89,C$135)</f>
        <v/>
      </c>
      <c r="D171" s="9">
        <f>SUMIFS($I$5:$I$89,$A$5:$A$89,$A171,$E$5:$E$89,D$135)</f>
        <v/>
      </c>
      <c r="E171" s="9">
        <f>SUMIFS($I$5:$I$89,$A$5:$A$89,$A171,$E$5:$E$89,E$135)</f>
        <v/>
      </c>
      <c r="F171" s="9">
        <f>SUMIFS($I$5:$I$89,$A$5:$A$89,$A171,$E$5:$E$89,F$135)</f>
        <v/>
      </c>
      <c r="G171" s="9">
        <f>SUMIFS($I$5:$I$89,$A$5:$A$89,$A171,$E$5:$E$89,G$135)</f>
        <v/>
      </c>
      <c r="H171" s="9">
        <f>SUMIFS($I$5:$I$89,$A$5:$A$89,$A171,$E$5:$E$89,H$135)</f>
        <v/>
      </c>
      <c r="I171" s="9">
        <f>SUMIFS($I$5:$I$89,$A$5:$A$89,$A171,$E$5:$E$89,I$135)</f>
        <v/>
      </c>
      <c r="J171" s="9">
        <f>SUMIFS($I$5:$I$89,$A$5:$A$89,$A171,$E$5:$E$89,J$135)</f>
        <v/>
      </c>
      <c r="K171" s="9">
        <f>SUMIFS($I$5:$I$89,$A$5:$A$89,$A171,$E$5:$E$89,K$135)</f>
        <v/>
      </c>
      <c r="L171" s="9">
        <f>SUMIFS($I$5:$I$89,$A$5:$A$89,$A171,$E$5:$E$89,L$135)</f>
        <v/>
      </c>
      <c r="M171" s="9">
        <f>SUMIFS($I$5:$I$89,$A$5:$A$89,$A171,$E$5:$E$89,M$135)</f>
        <v/>
      </c>
      <c r="N171" s="9">
        <f>SUMIFS($I$5:$I$89,$A$5:$A$89,$A171,$E$5:$E$89,N$135)</f>
        <v/>
      </c>
      <c r="O171" s="9">
        <f>SUMIFS($I$5:$I$89,$A$5:$A$89,$A171,$E$5:$E$89,O$135)</f>
        <v/>
      </c>
      <c r="P171" s="9">
        <f>SUMIFS($I$5:$I$89,$A$5:$A$89,$A171,$E$5:$E$89,P$135)</f>
        <v/>
      </c>
      <c r="Q171" s="9">
        <f>SUM(B171:P171)</f>
        <v/>
      </c>
    </row>
    <row r="172">
      <c r="A172" s="11" t="inlineStr">
        <is>
          <t>Total</t>
        </is>
      </c>
      <c r="B172" s="12">
        <f>SUM(B136:B171)</f>
        <v/>
      </c>
      <c r="C172" s="12">
        <f>SUM(C136:C171)</f>
        <v/>
      </c>
      <c r="D172" s="12">
        <f>SUM(D136:D171)</f>
        <v/>
      </c>
      <c r="E172" s="12">
        <f>SUM(E136:E171)</f>
        <v/>
      </c>
      <c r="F172" s="12">
        <f>SUM(F136:F171)</f>
        <v/>
      </c>
      <c r="G172" s="12">
        <f>SUM(G136:G171)</f>
        <v/>
      </c>
      <c r="H172" s="12">
        <f>SUM(H136:H171)</f>
        <v/>
      </c>
      <c r="I172" s="12">
        <f>SUM(I136:I171)</f>
        <v/>
      </c>
      <c r="J172" s="12">
        <f>SUM(J136:J171)</f>
        <v/>
      </c>
      <c r="K172" s="12">
        <f>SUM(K136:K171)</f>
        <v/>
      </c>
      <c r="L172" s="12">
        <f>SUM(L136:L171)</f>
        <v/>
      </c>
      <c r="M172" s="12">
        <f>SUM(M136:M171)</f>
        <v/>
      </c>
      <c r="N172" s="12">
        <f>SUM(N136:N171)</f>
        <v/>
      </c>
      <c r="O172" s="12">
        <f>SUM(O136:O171)</f>
        <v/>
      </c>
      <c r="P172" s="12">
        <f>SUM(P136:P171)</f>
        <v/>
      </c>
      <c r="Q172" s="12">
        <f>SUM(Q136:Q171)</f>
        <v/>
      </c>
    </row>
  </sheetData>
  <autoFilter ref="A4:K8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2026-10-20T18:01:19Z</dcterms:created>
  <dcterms:modified xmlns:dcterms="http://purl.org/dc/terms/" xmlns:xsi="http://www.w3.org/2001/XMLSchema-instance" xsi:type="dcterms:W3CDTF">2026-10-20T18:01:20Z</dcterms:modified>
</cp:coreProperties>
</file>